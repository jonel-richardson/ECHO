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1. Child Core Set Reporting" sheetId="2" state="visible" r:id="rId2"/>
    <sheet name="2. Adult Core Set Reporting" sheetId="3" state="visible" r:id="rId3"/>
    <sheet name="3. SAA-AD" sheetId="4" state="visible" r:id="rId4"/>
    <sheet name="4. AMB-CH" sheetId="5" state="visible" r:id="rId5"/>
    <sheet name="5. AMM-AD" sheetId="6" state="visible" r:id="rId6"/>
    <sheet name="6. AMR-CH" sheetId="7" state="visible" r:id="rId7"/>
    <sheet name="7. AMR-AD" sheetId="8" state="visible" r:id="rId8"/>
    <sheet name="8. AAB-CH" sheetId="9" state="visible" r:id="rId9"/>
    <sheet name="9. AAB-AD" sheetId="10" state="visible" r:id="rId10"/>
    <sheet name="10. BCS-AD" sheetId="11" state="visible" r:id="rId11"/>
    <sheet name="11. CPC-CH" sheetId="12" state="visible" r:id="rId12"/>
    <sheet name="12. CPA-AD" sheetId="13" state="visible" r:id="rId13"/>
    <sheet name="13. CCS-AD" sheetId="14" state="visible" r:id="rId14"/>
    <sheet name="14. WCV-CH" sheetId="15" state="visible" r:id="rId15"/>
    <sheet name="15. CIS-CH" sheetId="16" state="visible" r:id="rId16"/>
    <sheet name="16. CHL-CH" sheetId="17" state="visible" r:id="rId17"/>
    <sheet name="17. CHL-AD" sheetId="18" state="visible" r:id="rId18"/>
    <sheet name="18. COL-AD" sheetId="19" state="visible" r:id="rId19"/>
    <sheet name="19. COB-AD" sheetId="20" state="visible" r:id="rId20"/>
    <sheet name="20. CCW-CH" sheetId="21" state="visible" r:id="rId21"/>
    <sheet name="21. CCW-AD" sheetId="22" state="visible" r:id="rId22"/>
    <sheet name="22. CCP-CH" sheetId="23" state="visible" r:id="rId23"/>
    <sheet name="23. CCP-AD" sheetId="24" state="visible" r:id="rId24"/>
    <sheet name="24. CBP-AD" sheetId="25" state="visible" r:id="rId25"/>
    <sheet name="25. DEV-CH" sheetId="26" state="visible" r:id="rId26"/>
    <sheet name="26. SSD-AD" sheetId="27" state="visible" r:id="rId27"/>
    <sheet name="27. FVA-AD" sheetId="28" state="visible" r:id="rId28"/>
    <sheet name="28. FUM-CH" sheetId="29" state="visible" r:id="rId29"/>
    <sheet name="29. FUM-AD" sheetId="30" state="visible" r:id="rId30"/>
    <sheet name="30. FUA-CH" sheetId="31" state="visible" r:id="rId31"/>
    <sheet name="31. FUA-AD" sheetId="32" state="visible" r:id="rId32"/>
    <sheet name="32. FUH-CH" sheetId="33" state="visible" r:id="rId33"/>
    <sheet name="33. FUH-AD" sheetId="34" state="visible" r:id="rId34"/>
    <sheet name="34. ADD-CH" sheetId="35" state="visible" r:id="rId35"/>
    <sheet name="35. HBD-AD" sheetId="36" state="visible" r:id="rId36"/>
    <sheet name="36. IMA-CH" sheetId="37" state="visible" r:id="rId37"/>
    <sheet name="37. IET-AD" sheetId="38" state="visible" r:id="rId38"/>
    <sheet name="38. LSC-CH" sheetId="39" state="visible" r:id="rId39"/>
    <sheet name="39. LBW-CH" sheetId="40" state="visible" r:id="rId40"/>
    <sheet name="40. LRCD-CH" sheetId="41" state="visible" r:id="rId41"/>
    <sheet name="41. MSC-AD" sheetId="42" state="visible" r:id="rId42"/>
    <sheet name="42. APM-CH" sheetId="43" state="visible" r:id="rId43"/>
    <sheet name="43. NCIIDD-AD" sheetId="44" state="visible" r:id="rId44"/>
    <sheet name="44. OEV-CH" sheetId="45" state="visible" r:id="rId45"/>
    <sheet name="45. PDENT-CH" sheetId="46" state="visible" r:id="rId46"/>
    <sheet name="46. PCR-AD" sheetId="47" state="visible" r:id="rId47"/>
    <sheet name="47. PQI01-AD" sheetId="48" state="visible" r:id="rId48"/>
    <sheet name="48. PQI05-AD" sheetId="49" state="visible" r:id="rId49"/>
    <sheet name="49. PQI08-AD" sheetId="50" state="visible" r:id="rId50"/>
    <sheet name="50. PQI15-AD" sheetId="51" state="visible" r:id="rId51"/>
    <sheet name="51. PPC-CH" sheetId="52" state="visible" r:id="rId52"/>
    <sheet name="52. PPC-AD" sheetId="53" state="visible" r:id="rId53"/>
    <sheet name="53. PPC2-CH" sheetId="54" state="visible" r:id="rId54"/>
    <sheet name="54. PPC2-AD" sheetId="55" state="visible" r:id="rId55"/>
    <sheet name="55. CDF-CH" sheetId="56" state="visible" r:id="rId56"/>
    <sheet name="56. CDF-AD" sheetId="57" state="visible" r:id="rId57"/>
    <sheet name="57. SFM-CH" sheetId="58" state="visible" r:id="rId58"/>
    <sheet name="58. TFL-CH" sheetId="59" state="visible" r:id="rId59"/>
    <sheet name="59. APP-CH" sheetId="60" state="visible" r:id="rId60"/>
    <sheet name="60. OHD-AD" sheetId="61" state="visible" r:id="rId61"/>
    <sheet name="61. OUD-AD" sheetId="62" state="visible" r:id="rId62"/>
    <sheet name="62. WCC-CH" sheetId="63" state="visible" r:id="rId63"/>
    <sheet name="63. W30-CH" sheetId="64" state="visible" r:id="rId6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164" fontId="0" fillId="0" borderId="0" pivotButton="0" quotePrefix="0" xfId="0"/>
    <xf numFmtId="165" fontId="0" fillId="0" borderId="0" pivotButton="0" quotePrefix="0" xfId="0"/>
    <xf numFmtId="166"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60" customWidth="1" min="1" max="1"/>
    <col width="60" customWidth="1" min="2" max="2"/>
    <col width="18" customWidth="1" min="3" max="3"/>
    <col width="14" customWidth="1" min="4" max="4"/>
    <col width="16" customWidth="1" min="5" max="5"/>
  </cols>
  <sheetData>
    <row r="1">
      <c r="A1" t="inlineStr">
        <is>
          <t>Exported from the Centers for Medicare &amp; Medicaid Services (CMS) Medicaid and Children's Health Insurance Program (CHIP) Core Set Data Dashboard, https://www.medicaid.gov/medicaid/quality-of-care/core-set-data-dashboard/</t>
        </is>
      </c>
    </row>
    <row r="2">
      <c r="A2" t="inlineStr">
        <is>
          <t>State: New York</t>
        </is>
      </c>
    </row>
    <row r="3">
      <c r="A3" t="inlineStr">
        <is>
          <t>This file contains data for all measures reported by New York. Navigate to specific measure data by clicking on the corresponding Tab link in column A.</t>
        </is>
      </c>
    </row>
    <row r="6">
      <c r="A6" s="1" t="inlineStr">
        <is>
          <t>Tab Link</t>
        </is>
      </c>
      <c r="B6" s="1" t="inlineStr">
        <is>
          <t>Measure Name</t>
        </is>
      </c>
      <c r="C6" s="1" t="inlineStr">
        <is>
          <t>Data Period Type</t>
        </is>
      </c>
      <c r="D6" s="1" t="inlineStr">
        <is>
          <t>Data Periods</t>
        </is>
      </c>
      <c r="E6" s="1" t="inlineStr">
        <is>
          <t>Data Source</t>
        </is>
      </c>
    </row>
    <row r="7">
      <c r="A7" s="2">
        <f>HYPERLINK("#'1. Child Core Set Reporting'!A1", "1. Child Core Set Reporting")</f>
        <v/>
      </c>
      <c r="B7" t="inlineStr">
        <is>
          <t>Child Core Set Reporting</t>
        </is>
      </c>
      <c r="C7" t="inlineStr">
        <is>
          <t>Core Set Year</t>
        </is>
      </c>
      <c r="D7" t="inlineStr">
        <is>
          <t>2021-2024</t>
        </is>
      </c>
      <c r="E7" t="inlineStr">
        <is>
          <t>Child Core Set</t>
        </is>
      </c>
    </row>
    <row r="8">
      <c r="A8" s="2">
        <f>HYPERLINK("#'2. Adult Core Set Reporting'!A1", "2. Adult Core Set Reporting")</f>
        <v/>
      </c>
      <c r="B8" t="inlineStr">
        <is>
          <t>Adult Core Set Reporting</t>
        </is>
      </c>
      <c r="C8" t="inlineStr">
        <is>
          <t>Core Set Year</t>
        </is>
      </c>
      <c r="D8" t="inlineStr">
        <is>
          <t>2021-2024</t>
        </is>
      </c>
      <c r="E8" t="inlineStr">
        <is>
          <t>Adult Core Set</t>
        </is>
      </c>
    </row>
    <row r="9">
      <c r="A9" s="2">
        <f>HYPERLINK("#'3. SAA-AD'!A1", "3. SAA-AD")</f>
        <v/>
      </c>
      <c r="B9" t="inlineStr">
        <is>
          <t>Adherence to Antipsychotic Medications for Individuals with Schizophrenia: Age 18 and Older (SAA-AD)</t>
        </is>
      </c>
      <c r="C9" t="inlineStr">
        <is>
          <t>Core Set Year</t>
        </is>
      </c>
      <c r="D9" t="inlineStr">
        <is>
          <t>2021-2024</t>
        </is>
      </c>
      <c r="E9" t="inlineStr">
        <is>
          <t>Adult Core Set</t>
        </is>
      </c>
    </row>
    <row r="10">
      <c r="A10" s="2">
        <f>HYPERLINK("#'4. AMB-CH'!A1", "4. AMB-CH")</f>
        <v/>
      </c>
      <c r="B10" t="inlineStr">
        <is>
          <t>Ambulatory Care: Emergency Department (ED) Visits: Ages 0 to 19 (AMB-CH)</t>
        </is>
      </c>
      <c r="C10" t="inlineStr">
        <is>
          <t>Core Set Year</t>
        </is>
      </c>
      <c r="D10" t="inlineStr">
        <is>
          <t>2021-2024</t>
        </is>
      </c>
      <c r="E10" t="inlineStr">
        <is>
          <t>Child Core Set</t>
        </is>
      </c>
    </row>
    <row r="11">
      <c r="A11" s="2">
        <f>HYPERLINK("#'5. AMM-AD'!A1", "5. AMM-AD")</f>
        <v/>
      </c>
      <c r="B11" t="inlineStr">
        <is>
          <t>Antidepressant Medication Management: Age 18 and Older (AMM-AD)</t>
        </is>
      </c>
      <c r="C11" t="inlineStr">
        <is>
          <t>Core Set Year</t>
        </is>
      </c>
      <c r="D11" t="inlineStr">
        <is>
          <t>2021-2024</t>
        </is>
      </c>
      <c r="E11" t="inlineStr">
        <is>
          <t>Adult Core Set</t>
        </is>
      </c>
    </row>
    <row r="12">
      <c r="A12" s="2">
        <f>HYPERLINK("#'6. AMR-CH'!A1", "6. AMR-CH")</f>
        <v/>
      </c>
      <c r="B12" t="inlineStr">
        <is>
          <t>Asthma Medication Ratio: Ages 5 to 18 (AMR-CH)</t>
        </is>
      </c>
      <c r="C12" t="inlineStr">
        <is>
          <t>Core Set Year</t>
        </is>
      </c>
      <c r="D12" t="inlineStr">
        <is>
          <t>2021-2024</t>
        </is>
      </c>
      <c r="E12" t="inlineStr">
        <is>
          <t>Child Core Set</t>
        </is>
      </c>
    </row>
    <row r="13">
      <c r="A13" s="2">
        <f>HYPERLINK("#'7. AMR-AD'!A1", "7. AMR-AD")</f>
        <v/>
      </c>
      <c r="B13" t="inlineStr">
        <is>
          <t>Asthma Medication Ratio: Ages 19 to 64 (AMR-AD)</t>
        </is>
      </c>
      <c r="C13" t="inlineStr">
        <is>
          <t>Core Set Year</t>
        </is>
      </c>
      <c r="D13" t="inlineStr">
        <is>
          <t>2021-2024</t>
        </is>
      </c>
      <c r="E13" t="inlineStr">
        <is>
          <t>Adult Core Set</t>
        </is>
      </c>
    </row>
    <row r="14">
      <c r="A14" s="2">
        <f>HYPERLINK("#'8. AAB-CH'!A1", "8. AAB-CH")</f>
        <v/>
      </c>
      <c r="B14" t="inlineStr">
        <is>
          <t>Avoidance of Antibiotic Treatment for Acute Bronchitis/Bronchiolitis: Ages 3 Months to 17 Years (AAB-CH)</t>
        </is>
      </c>
      <c r="C14" t="inlineStr">
        <is>
          <t>Core Set Year</t>
        </is>
      </c>
      <c r="D14" t="inlineStr">
        <is>
          <t>2023-2024</t>
        </is>
      </c>
      <c r="E14" t="inlineStr">
        <is>
          <t>Child Core Set</t>
        </is>
      </c>
    </row>
    <row r="15">
      <c r="A15" s="2">
        <f>HYPERLINK("#'9. AAB-AD'!A1", "9. AAB-AD")</f>
        <v/>
      </c>
      <c r="B15" t="inlineStr">
        <is>
          <t>Avoidance of Antibiotic Treatment for Acute Bronchitis/Bronchiolitis: Age 18 and Older (AAB-AD)</t>
        </is>
      </c>
      <c r="C15" t="inlineStr">
        <is>
          <t>Core Set Year</t>
        </is>
      </c>
      <c r="D15" t="inlineStr">
        <is>
          <t>2022-2024</t>
        </is>
      </c>
      <c r="E15" t="inlineStr">
        <is>
          <t>Adult Core Set</t>
        </is>
      </c>
    </row>
    <row r="16">
      <c r="A16" s="2">
        <f>HYPERLINK("#'10. BCS-AD'!A1", "10. BCS-AD")</f>
        <v/>
      </c>
      <c r="B16" t="inlineStr">
        <is>
          <t>Breast Cancer Screening: Ages 50 to 74 (BCS-AD)</t>
        </is>
      </c>
      <c r="C16" t="inlineStr">
        <is>
          <t>Core Set Year</t>
        </is>
      </c>
      <c r="D16" t="inlineStr">
        <is>
          <t>2021-2024</t>
        </is>
      </c>
      <c r="E16" t="inlineStr">
        <is>
          <t>Adult Core Set</t>
        </is>
      </c>
    </row>
    <row r="17">
      <c r="A17" s="2">
        <f>HYPERLINK("#'11. CPC-CH'!A1", "11. CPC-CH")</f>
        <v/>
      </c>
      <c r="B17" t="inlineStr">
        <is>
          <t>CAHPS Health Plan Survey 5.1H - Child Version Including Medicaid and Children with Chronic Conditions Supplemental Items: Ages 0 to 17 (CPC-CH)</t>
        </is>
      </c>
      <c r="C17" t="inlineStr">
        <is>
          <t>Core Set Year</t>
        </is>
      </c>
      <c r="D17" t="inlineStr">
        <is>
          <t>2023-2024</t>
        </is>
      </c>
      <c r="E17" t="inlineStr">
        <is>
          <t>Child Core Set</t>
        </is>
      </c>
    </row>
    <row r="18">
      <c r="A18" s="2">
        <f>HYPERLINK("#'12. CPA-AD'!A1", "12. CPA-AD")</f>
        <v/>
      </c>
      <c r="B18" t="inlineStr">
        <is>
          <t>CAHPS Health Plan Survey 5.1H, Adult Version (Medicaid): Age 18 and Older (CPA-AD)</t>
        </is>
      </c>
      <c r="C18" t="inlineStr">
        <is>
          <t>Core Set Year</t>
        </is>
      </c>
      <c r="D18" t="inlineStr">
        <is>
          <t>2023-2024</t>
        </is>
      </c>
      <c r="E18" t="inlineStr">
        <is>
          <t>Adult Core Set</t>
        </is>
      </c>
    </row>
    <row r="19">
      <c r="A19" s="2">
        <f>HYPERLINK("#'13. CCS-AD'!A1", "13. CCS-AD")</f>
        <v/>
      </c>
      <c r="B19" t="inlineStr">
        <is>
          <t>Cervical Cancer Screening: Ages 21 to 64 (CCS-AD)</t>
        </is>
      </c>
      <c r="C19" t="inlineStr">
        <is>
          <t>Core Set Year</t>
        </is>
      </c>
      <c r="D19" t="inlineStr">
        <is>
          <t>2021-2024</t>
        </is>
      </c>
      <c r="E19" t="inlineStr">
        <is>
          <t>Adult Core Set</t>
        </is>
      </c>
    </row>
    <row r="20">
      <c r="A20" s="2">
        <f>HYPERLINK("#'14. WCV-CH'!A1", "14. WCV-CH")</f>
        <v/>
      </c>
      <c r="B20" t="inlineStr">
        <is>
          <t>Child and Adolescent Well-Care Visits: Ages 3 to 21 (WCV-CH)</t>
        </is>
      </c>
      <c r="C20" t="inlineStr">
        <is>
          <t>Core Set Year</t>
        </is>
      </c>
      <c r="D20" t="inlineStr">
        <is>
          <t>2021-2024</t>
        </is>
      </c>
      <c r="E20" t="inlineStr">
        <is>
          <t>Child Core Set</t>
        </is>
      </c>
    </row>
    <row r="21">
      <c r="A21" s="2">
        <f>HYPERLINK("#'15. CIS-CH'!A1", "15. CIS-CH")</f>
        <v/>
      </c>
      <c r="B21" t="inlineStr">
        <is>
          <t>Childhood Immunization Status: Age 2 (CIS-CH)</t>
        </is>
      </c>
      <c r="C21" t="inlineStr">
        <is>
          <t>Core Set Year</t>
        </is>
      </c>
      <c r="D21" t="inlineStr">
        <is>
          <t>2021-2024</t>
        </is>
      </c>
      <c r="E21" t="inlineStr">
        <is>
          <t>Child Core Set</t>
        </is>
      </c>
    </row>
    <row r="22">
      <c r="A22" s="2">
        <f>HYPERLINK("#'16. CHL-CH'!A1", "16. CHL-CH")</f>
        <v/>
      </c>
      <c r="B22" t="inlineStr">
        <is>
          <t>Chlamydia Screening in Women Ages 16 to 20 (CHL-CH)</t>
        </is>
      </c>
      <c r="C22" t="inlineStr">
        <is>
          <t>Core Set Year</t>
        </is>
      </c>
      <c r="D22" t="inlineStr">
        <is>
          <t>2021-2024</t>
        </is>
      </c>
      <c r="E22" t="inlineStr">
        <is>
          <t>Child Core Set</t>
        </is>
      </c>
    </row>
    <row r="23">
      <c r="A23" s="2">
        <f>HYPERLINK("#'17. CHL-AD'!A1", "17. CHL-AD")</f>
        <v/>
      </c>
      <c r="B23" t="inlineStr">
        <is>
          <t>Chlamydia Screening in Women Ages 21 to 24 (CHL-AD)</t>
        </is>
      </c>
      <c r="C23" t="inlineStr">
        <is>
          <t>Core Set Year</t>
        </is>
      </c>
      <c r="D23" t="inlineStr">
        <is>
          <t>2021-2024</t>
        </is>
      </c>
      <c r="E23" t="inlineStr">
        <is>
          <t>Adult Core Set</t>
        </is>
      </c>
    </row>
    <row r="24">
      <c r="A24" s="2">
        <f>HYPERLINK("#'18. COL-AD'!A1", "18. COL-AD")</f>
        <v/>
      </c>
      <c r="B24" t="inlineStr">
        <is>
          <t>Colorectal Cancer Screening: Ages 45 to 75 (COL-AD)</t>
        </is>
      </c>
      <c r="C24" t="inlineStr">
        <is>
          <t>Core Set Year</t>
        </is>
      </c>
      <c r="D24" t="inlineStr">
        <is>
          <t>2023-2024</t>
        </is>
      </c>
      <c r="E24" t="inlineStr">
        <is>
          <t>Adult Core Set</t>
        </is>
      </c>
    </row>
    <row r="25">
      <c r="A25" s="2">
        <f>HYPERLINK("#'19. COB-AD'!A1", "19. COB-AD")</f>
        <v/>
      </c>
      <c r="B25" t="inlineStr">
        <is>
          <t>Concurrent Use of Opioids and Benzodiazepines: Age 18 and Older (COB-AD)</t>
        </is>
      </c>
      <c r="C25" t="inlineStr">
        <is>
          <t>Core Set Year</t>
        </is>
      </c>
      <c r="D25" t="inlineStr">
        <is>
          <t>2021-2024</t>
        </is>
      </c>
      <c r="E25" t="inlineStr">
        <is>
          <t>Adult Core Set</t>
        </is>
      </c>
    </row>
    <row r="26">
      <c r="A26" s="2">
        <f>HYPERLINK("#'20. CCW-CH'!A1", "20. CCW-CH")</f>
        <v/>
      </c>
      <c r="B26" t="inlineStr">
        <is>
          <t>Contraceptive Care - All Women Ages 15 to 20 (CCW-CH)</t>
        </is>
      </c>
      <c r="C26" t="inlineStr">
        <is>
          <t>Core Set Year</t>
        </is>
      </c>
      <c r="D26" t="inlineStr">
        <is>
          <t>2021-2024</t>
        </is>
      </c>
      <c r="E26" t="inlineStr">
        <is>
          <t>Child Core Set</t>
        </is>
      </c>
    </row>
    <row r="27">
      <c r="A27" s="2">
        <f>HYPERLINK("#'21. CCW-AD'!A1", "21. CCW-AD")</f>
        <v/>
      </c>
      <c r="B27" t="inlineStr">
        <is>
          <t>Contraceptive Care - All Women Ages 21 to 44 (CCW-AD)</t>
        </is>
      </c>
      <c r="C27" t="inlineStr">
        <is>
          <t>Core Set Year</t>
        </is>
      </c>
      <c r="D27" t="inlineStr">
        <is>
          <t>2021-2024</t>
        </is>
      </c>
      <c r="E27" t="inlineStr">
        <is>
          <t>Adult Core Set</t>
        </is>
      </c>
    </row>
    <row r="28">
      <c r="A28" s="2">
        <f>HYPERLINK("#'22. CCP-CH'!A1", "22. CCP-CH")</f>
        <v/>
      </c>
      <c r="B28" t="inlineStr">
        <is>
          <t>Contraceptive Care - Postpartum Women Ages 15 to 20 (CCP-CH)</t>
        </is>
      </c>
      <c r="C28" t="inlineStr">
        <is>
          <t>Core Set Year</t>
        </is>
      </c>
      <c r="D28" t="inlineStr">
        <is>
          <t>2021-2024</t>
        </is>
      </c>
      <c r="E28" t="inlineStr">
        <is>
          <t>Child Core Set</t>
        </is>
      </c>
    </row>
    <row r="29">
      <c r="A29" s="2">
        <f>HYPERLINK("#'23. CCP-AD'!A1", "23. CCP-AD")</f>
        <v/>
      </c>
      <c r="B29" t="inlineStr">
        <is>
          <t>Contraceptive Care - Postpartum Women Ages 21 to 44 (CCP-AD)</t>
        </is>
      </c>
      <c r="C29" t="inlineStr">
        <is>
          <t>Core Set Year</t>
        </is>
      </c>
      <c r="D29" t="inlineStr">
        <is>
          <t>2021-2024</t>
        </is>
      </c>
      <c r="E29" t="inlineStr">
        <is>
          <t>Adult Core Set</t>
        </is>
      </c>
    </row>
    <row r="30">
      <c r="A30" s="2">
        <f>HYPERLINK("#'24. CBP-AD'!A1", "24. CBP-AD")</f>
        <v/>
      </c>
      <c r="B30" t="inlineStr">
        <is>
          <t>Controlling High Blood Pressure: Ages 18 to 85 (CBP-AD)</t>
        </is>
      </c>
      <c r="C30" t="inlineStr">
        <is>
          <t>Core Set Year</t>
        </is>
      </c>
      <c r="D30" t="inlineStr">
        <is>
          <t>2021-2024</t>
        </is>
      </c>
      <c r="E30" t="inlineStr">
        <is>
          <t>Adult Core Set</t>
        </is>
      </c>
    </row>
    <row r="31">
      <c r="A31" s="2">
        <f>HYPERLINK("#'25. DEV-CH'!A1", "25. DEV-CH")</f>
        <v/>
      </c>
      <c r="B31" t="inlineStr">
        <is>
          <t>Developmental Screening in the First Three Years of Life: Ages 0 to 3 (DEV-CH)</t>
        </is>
      </c>
      <c r="C31" t="inlineStr">
        <is>
          <t>Core Set Year</t>
        </is>
      </c>
      <c r="D31" t="inlineStr">
        <is>
          <t>2021-2024</t>
        </is>
      </c>
      <c r="E31" t="inlineStr">
        <is>
          <t>Child Core Set</t>
        </is>
      </c>
    </row>
    <row r="32">
      <c r="A32" s="2">
        <f>HYPERLINK("#'26. SSD-AD'!A1", "26. SSD-AD")</f>
        <v/>
      </c>
      <c r="B32" t="inlineStr">
        <is>
          <t>Diabetes Screening for People with Schizophrenia or Bipolar Disorder Who Are Using Antipsychotic Medications: Ages 18 to 64 (SSD-AD)</t>
        </is>
      </c>
      <c r="C32" t="inlineStr">
        <is>
          <t>Core Set Year</t>
        </is>
      </c>
      <c r="D32" t="inlineStr">
        <is>
          <t>2021-2024</t>
        </is>
      </c>
      <c r="E32" t="inlineStr">
        <is>
          <t>Adult Core Set</t>
        </is>
      </c>
    </row>
    <row r="33">
      <c r="A33" s="2">
        <f>HYPERLINK("#'27. FVA-AD'!A1", "27. FVA-AD")</f>
        <v/>
      </c>
      <c r="B33" t="inlineStr">
        <is>
          <t>Flu Vaccinations for Adults Ages 18 to 64 (FVA-AD)</t>
        </is>
      </c>
      <c r="C33" t="inlineStr">
        <is>
          <t>Core Set Year</t>
        </is>
      </c>
      <c r="D33" t="inlineStr">
        <is>
          <t>2021-2023</t>
        </is>
      </c>
      <c r="E33" t="inlineStr">
        <is>
          <t>Adult Core Set</t>
        </is>
      </c>
    </row>
    <row r="34">
      <c r="A34" s="2">
        <f>HYPERLINK("#'28. FUM-CH'!A1", "28. FUM-CH")</f>
        <v/>
      </c>
      <c r="B34" t="inlineStr">
        <is>
          <t>Follow-Up After Emergency Department Visit for Mental Illness: Ages 6 to 17 (FUM-CH)</t>
        </is>
      </c>
      <c r="C34" t="inlineStr">
        <is>
          <t>Core Set Year</t>
        </is>
      </c>
      <c r="D34" t="inlineStr">
        <is>
          <t>2022-2024</t>
        </is>
      </c>
      <c r="E34" t="inlineStr">
        <is>
          <t>Child Core Set</t>
        </is>
      </c>
    </row>
    <row r="35">
      <c r="A35" s="2">
        <f>HYPERLINK("#'29. FUM-AD'!A1", "29. FUM-AD")</f>
        <v/>
      </c>
      <c r="B35" t="inlineStr">
        <is>
          <t>Follow-Up After Emergency Department Visit for Mental Illness: Age 18 and Older (FUM-AD)</t>
        </is>
      </c>
      <c r="C35" t="inlineStr">
        <is>
          <t>Core Set Year</t>
        </is>
      </c>
      <c r="D35" t="inlineStr">
        <is>
          <t>2021-2024</t>
        </is>
      </c>
      <c r="E35" t="inlineStr">
        <is>
          <t>Adult Core Set</t>
        </is>
      </c>
    </row>
    <row r="36">
      <c r="A36" s="2">
        <f>HYPERLINK("#'30. FUA-CH'!A1", "30. FUA-CH")</f>
        <v/>
      </c>
      <c r="B36" t="inlineStr">
        <is>
          <t>Follow-Up After Emergency Department Visit for Substance Use: Ages 13 to 17 (FUA-CH)</t>
        </is>
      </c>
      <c r="C36" t="inlineStr">
        <is>
          <t>Core Set Year</t>
        </is>
      </c>
      <c r="D36" t="inlineStr">
        <is>
          <t>2022-2024</t>
        </is>
      </c>
      <c r="E36" t="inlineStr">
        <is>
          <t>Child Core Set</t>
        </is>
      </c>
    </row>
    <row r="37">
      <c r="A37" s="2">
        <f>HYPERLINK("#'31. FUA-AD'!A1", "31. FUA-AD")</f>
        <v/>
      </c>
      <c r="B37" t="inlineStr">
        <is>
          <t>Follow-Up After Emergency Department Visit for Substance Use: Age 18 and Older (FUA-AD)</t>
        </is>
      </c>
      <c r="C37" t="inlineStr">
        <is>
          <t>Core Set Year</t>
        </is>
      </c>
      <c r="D37" t="inlineStr">
        <is>
          <t>2021-2024</t>
        </is>
      </c>
      <c r="E37" t="inlineStr">
        <is>
          <t>Adult Core Set</t>
        </is>
      </c>
    </row>
    <row r="38">
      <c r="A38" s="2">
        <f>HYPERLINK("#'32. FUH-CH'!A1", "32. FUH-CH")</f>
        <v/>
      </c>
      <c r="B38" t="inlineStr">
        <is>
          <t>Follow-Up After Hospitalization for Mental Illness: Ages 6 to 17 (FUH-CH)</t>
        </is>
      </c>
      <c r="C38" t="inlineStr">
        <is>
          <t>Core Set Year</t>
        </is>
      </c>
      <c r="D38" t="inlineStr">
        <is>
          <t>2021-2024</t>
        </is>
      </c>
      <c r="E38" t="inlineStr">
        <is>
          <t>Child Core Set</t>
        </is>
      </c>
    </row>
    <row r="39">
      <c r="A39" s="2">
        <f>HYPERLINK("#'33. FUH-AD'!A1", "33. FUH-AD")</f>
        <v/>
      </c>
      <c r="B39" t="inlineStr">
        <is>
          <t>Follow-Up After Hospitalization for Mental Illness: Age 18 and Older (FUH-AD)</t>
        </is>
      </c>
      <c r="C39" t="inlineStr">
        <is>
          <t>Core Set Year</t>
        </is>
      </c>
      <c r="D39" t="inlineStr">
        <is>
          <t>2021-2024</t>
        </is>
      </c>
      <c r="E39" t="inlineStr">
        <is>
          <t>Adult Core Set</t>
        </is>
      </c>
    </row>
    <row r="40">
      <c r="A40" s="2">
        <f>HYPERLINK("#'34. ADD-CH'!A1", "34. ADD-CH")</f>
        <v/>
      </c>
      <c r="B40" t="inlineStr">
        <is>
          <t>Follow-Up Care for Children Prescribed Attention-Deficit/Hyperactivity Disorder (ADHD) Medication: Ages 6 to 12 (ADD-CH)</t>
        </is>
      </c>
      <c r="C40" t="inlineStr">
        <is>
          <t>Core Set Year</t>
        </is>
      </c>
      <c r="D40" t="inlineStr">
        <is>
          <t>2021-2024</t>
        </is>
      </c>
      <c r="E40" t="inlineStr">
        <is>
          <t>Child Core Set</t>
        </is>
      </c>
    </row>
    <row r="41">
      <c r="A41" s="2">
        <f>HYPERLINK("#'35. HBD-AD'!A1", "35. HBD-AD")</f>
        <v/>
      </c>
      <c r="B41" t="inlineStr">
        <is>
          <t>Hemoglobin A1c Control for Patients with Diabetes: Ages 18 to 75 (HBD-AD)</t>
        </is>
      </c>
      <c r="C41" t="inlineStr">
        <is>
          <t>Core Set Year</t>
        </is>
      </c>
      <c r="D41" t="inlineStr">
        <is>
          <t>2021-2024</t>
        </is>
      </c>
      <c r="E41" t="inlineStr">
        <is>
          <t>Adult Core Set</t>
        </is>
      </c>
    </row>
    <row r="42">
      <c r="A42" s="2">
        <f>HYPERLINK("#'36. IMA-CH'!A1", "36. IMA-CH")</f>
        <v/>
      </c>
      <c r="B42" t="inlineStr">
        <is>
          <t>Immunizations for Adolescents: Age 13 (IMA-CH)</t>
        </is>
      </c>
      <c r="C42" t="inlineStr">
        <is>
          <t>Core Set Year</t>
        </is>
      </c>
      <c r="D42" t="inlineStr">
        <is>
          <t>2021-2024</t>
        </is>
      </c>
      <c r="E42" t="inlineStr">
        <is>
          <t>Child Core Set</t>
        </is>
      </c>
    </row>
    <row r="43">
      <c r="A43" s="2">
        <f>HYPERLINK("#'37. IET-AD'!A1", "37. IET-AD")</f>
        <v/>
      </c>
      <c r="B43" t="inlineStr">
        <is>
          <t>Initiation and Engagement of Substance Use Disorder Treatment: Age 18 and Older (IET-AD)</t>
        </is>
      </c>
      <c r="C43" t="inlineStr">
        <is>
          <t>Core Set Year</t>
        </is>
      </c>
      <c r="D43" t="inlineStr">
        <is>
          <t>2021-2024</t>
        </is>
      </c>
      <c r="E43" t="inlineStr">
        <is>
          <t>Adult Core Set</t>
        </is>
      </c>
    </row>
    <row r="44">
      <c r="A44" s="2">
        <f>HYPERLINK("#'38. LSC-CH'!A1", "38. LSC-CH")</f>
        <v/>
      </c>
      <c r="B44" t="inlineStr">
        <is>
          <t>Lead Screening in Children: Age 2 (LSC-CH)</t>
        </is>
      </c>
      <c r="C44" t="inlineStr">
        <is>
          <t>Core Set Year</t>
        </is>
      </c>
      <c r="D44" t="inlineStr">
        <is>
          <t>2023-2024</t>
        </is>
      </c>
      <c r="E44" t="inlineStr">
        <is>
          <t>Child Core Set</t>
        </is>
      </c>
    </row>
    <row r="45">
      <c r="A45" s="2">
        <f>HYPERLINK("#'39. LBW-CH'!A1", "39. LBW-CH")</f>
        <v/>
      </c>
      <c r="B45" t="inlineStr">
        <is>
          <t>Live Births Weighing Less Than 2,500 Grams (LBW-CH)</t>
        </is>
      </c>
      <c r="C45" t="inlineStr">
        <is>
          <t>Core Set Year</t>
        </is>
      </c>
      <c r="D45" t="inlineStr">
        <is>
          <t>2021-2024</t>
        </is>
      </c>
      <c r="E45" t="inlineStr">
        <is>
          <t>Child Core Set</t>
        </is>
      </c>
    </row>
    <row r="46">
      <c r="A46" s="2">
        <f>HYPERLINK("#'40. LRCD-CH'!A1", "40. LRCD-CH")</f>
        <v/>
      </c>
      <c r="B46" t="inlineStr">
        <is>
          <t>Low-Risk Cesarean Delivery (LRCD-CH)</t>
        </is>
      </c>
      <c r="C46" t="inlineStr">
        <is>
          <t>Core Set Year</t>
        </is>
      </c>
      <c r="D46" t="inlineStr">
        <is>
          <t>2021-2024</t>
        </is>
      </c>
      <c r="E46" t="inlineStr">
        <is>
          <t>Child Core Set</t>
        </is>
      </c>
    </row>
    <row r="47">
      <c r="A47" s="2">
        <f>HYPERLINK("#'41. MSC-AD'!A1", "41. MSC-AD")</f>
        <v/>
      </c>
      <c r="B47" t="inlineStr">
        <is>
          <t>Medical Assistance With Smoking and Tobacco Use Cessation: Age 18 and Older (MSC-AD)</t>
        </is>
      </c>
      <c r="C47" t="inlineStr">
        <is>
          <t>Core Set Year</t>
        </is>
      </c>
      <c r="D47" t="inlineStr">
        <is>
          <t>2021-2024</t>
        </is>
      </c>
      <c r="E47" t="inlineStr">
        <is>
          <t>Adult Core Set</t>
        </is>
      </c>
    </row>
    <row r="48">
      <c r="A48" s="2">
        <f>HYPERLINK("#'42. APM-CH'!A1", "42. APM-CH")</f>
        <v/>
      </c>
      <c r="B48" t="inlineStr">
        <is>
          <t>Metabolic Monitoring for Children and Adolescents on Antipsychotics: Ages 1 to 17 (APM-CH)</t>
        </is>
      </c>
      <c r="C48" t="inlineStr">
        <is>
          <t>Core Set Year</t>
        </is>
      </c>
      <c r="D48" t="inlineStr">
        <is>
          <t>2021-2024</t>
        </is>
      </c>
      <c r="E48" t="inlineStr">
        <is>
          <t>Child Core Set</t>
        </is>
      </c>
    </row>
    <row r="49">
      <c r="A49" s="2">
        <f>HYPERLINK("#'43. NCIIDD-AD'!A1", "43. NCIIDD-AD")</f>
        <v/>
      </c>
      <c r="B49" t="inlineStr">
        <is>
          <t>National Core Indicators Survey: Age 18 and Older (NCIIDD-AD)</t>
        </is>
      </c>
      <c r="C49" t="inlineStr">
        <is>
          <t>Core Set Year</t>
        </is>
      </c>
      <c r="D49" t="inlineStr">
        <is>
          <t>2022-2024</t>
        </is>
      </c>
      <c r="E49" t="inlineStr">
        <is>
          <t>Adult Core Set</t>
        </is>
      </c>
    </row>
    <row r="50">
      <c r="A50" s="2">
        <f>HYPERLINK("#'44. OEV-CH'!A1", "44. OEV-CH")</f>
        <v/>
      </c>
      <c r="B50" t="inlineStr">
        <is>
          <t>Oral Evaluation, Dental Services: Ages &lt;1 through 20 (OEV-CH)</t>
        </is>
      </c>
      <c r="C50" t="inlineStr">
        <is>
          <t>Core Set Year</t>
        </is>
      </c>
      <c r="D50" t="inlineStr">
        <is>
          <t>2022-2024</t>
        </is>
      </c>
      <c r="E50" t="inlineStr">
        <is>
          <t>Child Core Set</t>
        </is>
      </c>
    </row>
    <row r="51">
      <c r="A51" s="2">
        <f>HYPERLINK("#'45. PDENT-CH'!A1", "45. PDENT-CH")</f>
        <v/>
      </c>
      <c r="B51" t="inlineStr">
        <is>
          <t>Percentage of Eligibles Who Received Preventive Dental Services: Ages 1 to 20 (PDENT-CH)</t>
        </is>
      </c>
      <c r="C51" t="inlineStr">
        <is>
          <t>Core Set Year</t>
        </is>
      </c>
      <c r="D51" t="inlineStr">
        <is>
          <t>2021</t>
        </is>
      </c>
      <c r="E51" t="inlineStr">
        <is>
          <t>Child Core Set</t>
        </is>
      </c>
    </row>
    <row r="52">
      <c r="A52" s="2">
        <f>HYPERLINK("#'46. PCR-AD'!A1", "46. PCR-AD")</f>
        <v/>
      </c>
      <c r="B52" t="inlineStr">
        <is>
          <t>Plan All-Cause Readmissions: Ages 18 to 64 (PCR-AD)</t>
        </is>
      </c>
      <c r="C52" t="inlineStr">
        <is>
          <t>Core Set Year</t>
        </is>
      </c>
      <c r="D52" t="inlineStr">
        <is>
          <t>2021-2024</t>
        </is>
      </c>
      <c r="E52" t="inlineStr">
        <is>
          <t>Adult Core Set</t>
        </is>
      </c>
    </row>
    <row r="53">
      <c r="A53" s="2">
        <f>HYPERLINK("#'47. PQI01-AD'!A1", "47. PQI01-AD")</f>
        <v/>
      </c>
      <c r="B53" t="inlineStr">
        <is>
          <t>PQI 01: Diabetes Short-Term Complications Admission Rate: Age 18 and Older (PQI01-AD)</t>
        </is>
      </c>
      <c r="C53" t="inlineStr">
        <is>
          <t>Core Set Year</t>
        </is>
      </c>
      <c r="D53" t="inlineStr">
        <is>
          <t>2021-2024</t>
        </is>
      </c>
      <c r="E53" t="inlineStr">
        <is>
          <t>Adult Core Set</t>
        </is>
      </c>
    </row>
    <row r="54">
      <c r="A54" s="2">
        <f>HYPERLINK("#'48. PQI05-AD'!A1", "48. PQI05-AD")</f>
        <v/>
      </c>
      <c r="B54" t="inlineStr">
        <is>
          <t>PQI 05: Chronic Obstructive Pulmonary Disease (COPD) or Asthma in Older Adults Admission Rate: Age 40 and Older (PQI05-AD)</t>
        </is>
      </c>
      <c r="C54" t="inlineStr">
        <is>
          <t>Core Set Year</t>
        </is>
      </c>
      <c r="D54" t="inlineStr">
        <is>
          <t>2021-2024</t>
        </is>
      </c>
      <c r="E54" t="inlineStr">
        <is>
          <t>Adult Core Set</t>
        </is>
      </c>
    </row>
    <row r="55">
      <c r="A55" s="2">
        <f>HYPERLINK("#'49. PQI08-AD'!A1", "49. PQI08-AD")</f>
        <v/>
      </c>
      <c r="B55" t="inlineStr">
        <is>
          <t>PQI 08: Heart Failure Admission Rate: Age 18 and Older (PQI08-AD)</t>
        </is>
      </c>
      <c r="C55" t="inlineStr">
        <is>
          <t>Core Set Year</t>
        </is>
      </c>
      <c r="D55" t="inlineStr">
        <is>
          <t>2021-2024</t>
        </is>
      </c>
      <c r="E55" t="inlineStr">
        <is>
          <t>Adult Core Set</t>
        </is>
      </c>
    </row>
    <row r="56">
      <c r="A56" s="2">
        <f>HYPERLINK("#'50. PQI15-AD'!A1", "50. PQI15-AD")</f>
        <v/>
      </c>
      <c r="B56" t="inlineStr">
        <is>
          <t>PQI 15: Asthma in Younger Adults Admission Rate: Ages 18 to 39 (PQI15-AD)</t>
        </is>
      </c>
      <c r="C56" t="inlineStr">
        <is>
          <t>Core Set Year</t>
        </is>
      </c>
      <c r="D56" t="inlineStr">
        <is>
          <t>2021-2024</t>
        </is>
      </c>
      <c r="E56" t="inlineStr">
        <is>
          <t>Adult Core Set</t>
        </is>
      </c>
    </row>
    <row r="57">
      <c r="A57" s="2">
        <f>HYPERLINK("#'51. PPC-CH'!A1", "51. PPC-CH")</f>
        <v/>
      </c>
      <c r="B57" t="inlineStr">
        <is>
          <t>Prenatal and Postpartum Care: Timeliness of Prenatal Care (PPC-CH)</t>
        </is>
      </c>
      <c r="C57" t="inlineStr">
        <is>
          <t>Core Set Year</t>
        </is>
      </c>
      <c r="D57" t="inlineStr">
        <is>
          <t>2021-2023</t>
        </is>
      </c>
      <c r="E57" t="inlineStr">
        <is>
          <t>Child Core Set</t>
        </is>
      </c>
    </row>
    <row r="58">
      <c r="A58" s="2">
        <f>HYPERLINK("#'52. PPC-AD'!A1", "52. PPC-AD")</f>
        <v/>
      </c>
      <c r="B58" t="inlineStr">
        <is>
          <t>Prenatal and Postpartum Care: Postpartum Care (PPC-AD)</t>
        </is>
      </c>
      <c r="C58" t="inlineStr">
        <is>
          <t>Core Set Year</t>
        </is>
      </c>
      <c r="D58" t="inlineStr">
        <is>
          <t>2021-2023</t>
        </is>
      </c>
      <c r="E58" t="inlineStr">
        <is>
          <t>Adult Core Set</t>
        </is>
      </c>
    </row>
    <row r="59">
      <c r="A59" s="2">
        <f>HYPERLINK("#'53. PPC2-CH'!A1", "53. PPC2-CH")</f>
        <v/>
      </c>
      <c r="B59" t="inlineStr">
        <is>
          <t>Prenatal and Postpartum Care: Under Age 21 (PPC2-CH)</t>
        </is>
      </c>
      <c r="C59" t="inlineStr">
        <is>
          <t>Core Set Year</t>
        </is>
      </c>
      <c r="D59" t="inlineStr">
        <is>
          <t>2024</t>
        </is>
      </c>
      <c r="E59" t="inlineStr">
        <is>
          <t>Child Core Set</t>
        </is>
      </c>
    </row>
    <row r="60">
      <c r="A60" s="2">
        <f>HYPERLINK("#'54. PPC2-AD'!A1", "54. PPC2-AD")</f>
        <v/>
      </c>
      <c r="B60" t="inlineStr">
        <is>
          <t>Prenatal and Postpartum Care: Age 21 and Older (PPC2-AD)</t>
        </is>
      </c>
      <c r="C60" t="inlineStr">
        <is>
          <t>Core Set Year</t>
        </is>
      </c>
      <c r="D60" t="inlineStr">
        <is>
          <t>2024</t>
        </is>
      </c>
      <c r="E60" t="inlineStr">
        <is>
          <t>Adult Core Set</t>
        </is>
      </c>
    </row>
    <row r="61">
      <c r="A61" s="2">
        <f>HYPERLINK("#'55. CDF-CH'!A1", "55. CDF-CH")</f>
        <v/>
      </c>
      <c r="B61" t="inlineStr">
        <is>
          <t>Screening for Depression and Follow-Up Plan: Ages 12 to 17 (CDF-CH)</t>
        </is>
      </c>
      <c r="C61" t="inlineStr">
        <is>
          <t>Core Set Year</t>
        </is>
      </c>
      <c r="D61" t="inlineStr">
        <is>
          <t>2024</t>
        </is>
      </c>
      <c r="E61" t="inlineStr">
        <is>
          <t>Child Core Set</t>
        </is>
      </c>
    </row>
    <row r="62">
      <c r="A62" s="2">
        <f>HYPERLINK("#'56. CDF-AD'!A1", "56. CDF-AD")</f>
        <v/>
      </c>
      <c r="B62" t="inlineStr">
        <is>
          <t>Screening for Depression and Follow-Up Plan: Age 18 and Older (CDF-AD)</t>
        </is>
      </c>
      <c r="C62" t="inlineStr">
        <is>
          <t>Core Set Year</t>
        </is>
      </c>
      <c r="D62" t="inlineStr">
        <is>
          <t>2024</t>
        </is>
      </c>
      <c r="E62" t="inlineStr">
        <is>
          <t>Adult Core Set</t>
        </is>
      </c>
    </row>
    <row r="63">
      <c r="A63" s="2">
        <f>HYPERLINK("#'57. SFM-CH'!A1", "57. SFM-CH")</f>
        <v/>
      </c>
      <c r="B63" t="inlineStr">
        <is>
          <t>Sealant Receipt on Permanent First Molars: Age 10 (SFM-CH)</t>
        </is>
      </c>
      <c r="C63" t="inlineStr">
        <is>
          <t>Core Set Year</t>
        </is>
      </c>
      <c r="D63" t="inlineStr">
        <is>
          <t>2021-2024</t>
        </is>
      </c>
      <c r="E63" t="inlineStr">
        <is>
          <t>Child Core Set</t>
        </is>
      </c>
    </row>
    <row r="64">
      <c r="A64" s="2">
        <f>HYPERLINK("#'58. TFL-CH'!A1", "58. TFL-CH")</f>
        <v/>
      </c>
      <c r="B64" t="inlineStr">
        <is>
          <t>Topical Fluoride for Children: Ages 1 through 20 (TFL-CH)</t>
        </is>
      </c>
      <c r="C64" t="inlineStr">
        <is>
          <t>Core Set Year</t>
        </is>
      </c>
      <c r="D64" t="inlineStr">
        <is>
          <t>2022-2024</t>
        </is>
      </c>
      <c r="E64" t="inlineStr">
        <is>
          <t>Child Core Set</t>
        </is>
      </c>
    </row>
    <row r="65">
      <c r="A65" s="2">
        <f>HYPERLINK("#'59. APP-CH'!A1", "59. APP-CH")</f>
        <v/>
      </c>
      <c r="B65" t="inlineStr">
        <is>
          <t>Use of First-Line Psychosocial Care for Children and Adolescents on Antipsychotics: Ages 1 to 17 (APP-CH)</t>
        </is>
      </c>
      <c r="C65" t="inlineStr">
        <is>
          <t>Core Set Year</t>
        </is>
      </c>
      <c r="D65" t="inlineStr">
        <is>
          <t>2021-2024</t>
        </is>
      </c>
      <c r="E65" t="inlineStr">
        <is>
          <t>Child Core Set</t>
        </is>
      </c>
    </row>
    <row r="66">
      <c r="A66" s="2">
        <f>HYPERLINK("#'60. OHD-AD'!A1", "60. OHD-AD")</f>
        <v/>
      </c>
      <c r="B66" t="inlineStr">
        <is>
          <t>Use of Opioids at High Dosage in Persons Without Cancer: Age 18 and Older (OHD-AD)</t>
        </is>
      </c>
      <c r="C66" t="inlineStr">
        <is>
          <t>Core Set Year</t>
        </is>
      </c>
      <c r="D66" t="inlineStr">
        <is>
          <t>2021-2024</t>
        </is>
      </c>
      <c r="E66" t="inlineStr">
        <is>
          <t>Adult Core Set</t>
        </is>
      </c>
    </row>
    <row r="67">
      <c r="A67" s="2">
        <f>HYPERLINK("#'61. OUD-AD'!A1", "61. OUD-AD")</f>
        <v/>
      </c>
      <c r="B67" t="inlineStr">
        <is>
          <t>Use of Pharmacotherapy for Opioid Use Disorder: Ages 18 to 64 (OUD-AD)</t>
        </is>
      </c>
      <c r="C67" t="inlineStr">
        <is>
          <t>Core Set Year</t>
        </is>
      </c>
      <c r="D67" t="inlineStr">
        <is>
          <t>2021-2024</t>
        </is>
      </c>
      <c r="E67" t="inlineStr">
        <is>
          <t>Adult Core Set</t>
        </is>
      </c>
    </row>
    <row r="68">
      <c r="A68" s="2">
        <f>HYPERLINK("#'62. WCC-CH'!A1", "62. WCC-CH")</f>
        <v/>
      </c>
      <c r="B68" t="inlineStr">
        <is>
          <t>Weight Assessment and Counseling for Nutrition and Physical Activity for Children/Adolescents: Ages 3 to 17 (WCC-CH)</t>
        </is>
      </c>
      <c r="C68" t="inlineStr">
        <is>
          <t>Core Set Year</t>
        </is>
      </c>
      <c r="D68" t="inlineStr">
        <is>
          <t>2021-2024</t>
        </is>
      </c>
      <c r="E68" t="inlineStr">
        <is>
          <t>Child Core Set</t>
        </is>
      </c>
    </row>
    <row r="69">
      <c r="A69" s="2">
        <f>HYPERLINK("#'63. W30-CH'!A1", "63. W30-CH")</f>
        <v/>
      </c>
      <c r="B69" t="inlineStr">
        <is>
          <t>Well-Child Visits in the First 30 Months of Life (W30-CH)</t>
        </is>
      </c>
      <c r="C69" t="inlineStr">
        <is>
          <t>Core Set Year</t>
        </is>
      </c>
      <c r="D69" t="inlineStr">
        <is>
          <t>2021-2024</t>
        </is>
      </c>
      <c r="E69" t="inlineStr">
        <is>
          <t>Child Core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5" customWidth="1" min="1" max="1"/>
    <col width="38" customWidth="1" min="2" max="2"/>
    <col width="26" customWidth="1" min="3" max="3"/>
    <col width="60" customWidth="1" min="4" max="4"/>
    <col width="7" customWidth="1" min="5" max="5"/>
    <col width="8" customWidth="1" min="6" max="6"/>
    <col width="9" customWidth="1" min="7" max="7"/>
    <col width="9" customWidth="1" min="8" max="8"/>
    <col width="16" customWidth="1" min="9" max="9"/>
    <col width="16" customWidth="1" min="10" max="10"/>
  </cols>
  <sheetData>
    <row r="1">
      <c r="A1" t="inlineStr">
        <is>
          <t>Measure Name</t>
        </is>
      </c>
      <c r="B1" t="inlineStr">
        <is>
          <t>Child Core Set Reporting</t>
        </is>
      </c>
    </row>
    <row r="2"/>
    <row r="3">
      <c r="A3" s="1" t="inlineStr">
        <is>
          <t>Data Period</t>
        </is>
      </c>
      <c r="B3" s="1" t="inlineStr">
        <is>
          <t>Value Type</t>
        </is>
      </c>
      <c r="C3" s="1" t="inlineStr">
        <is>
          <t>Value Directionality</t>
        </is>
      </c>
      <c r="D3" s="1" t="inlineStr">
        <is>
          <t>Analysis Source</t>
        </is>
      </c>
      <c r="E3" s="1" t="inlineStr">
        <is>
          <t>Value</t>
        </is>
      </c>
      <c r="F3" s="1" t="inlineStr">
        <is>
          <t>Median</t>
        </is>
      </c>
      <c r="G3" s="1" t="inlineStr">
        <is>
          <t>Maximum</t>
        </is>
      </c>
      <c r="H3" s="1" t="inlineStr">
        <is>
          <t>Minimum</t>
        </is>
      </c>
      <c r="I3" s="1" t="inlineStr">
        <is>
          <t>First quartile</t>
        </is>
      </c>
      <c r="J3" s="1" t="inlineStr">
        <is>
          <t>Third quartile</t>
        </is>
      </c>
    </row>
    <row r="4">
      <c r="A4" t="n">
        <v>2021</v>
      </c>
      <c r="B4" t="inlineStr">
        <is>
          <t>Number of Core Set measures reported</t>
        </is>
      </c>
      <c r="C4" t="inlineStr">
        <is>
          <t>Higher values are better</t>
        </is>
      </c>
      <c r="D4" t="inlineStr">
        <is>
          <t>Mathematica analysis of the QMR system reports for the 2021 Core Set as of June 1, 2023; CDC WONDER data as of February 2, 2023; and Form CMS-416 reports for the 2021 Core Set as of November 9, 2022.</t>
        </is>
      </c>
      <c r="E4" t="n">
        <v>20</v>
      </c>
      <c r="F4" t="n">
        <v>20</v>
      </c>
      <c r="G4" t="n">
        <v>23</v>
      </c>
      <c r="H4" t="n">
        <v>3</v>
      </c>
      <c r="I4" t="n">
        <v>17</v>
      </c>
      <c r="J4" t="n">
        <v>21</v>
      </c>
    </row>
    <row r="5">
      <c r="A5" t="n">
        <v>2022</v>
      </c>
      <c r="B5" t="inlineStr">
        <is>
          <t>Number of Core Set measures reported</t>
        </is>
      </c>
      <c r="C5" t="inlineStr">
        <is>
          <t>Higher values are better</t>
        </is>
      </c>
      <c r="D5" t="inlineStr">
        <is>
          <t>Mathematica analysis of the QMR system reports for the 2022 Core Set as of June 1, 2023 and CDC WONDER data as of February 2, 2023.</t>
        </is>
      </c>
      <c r="E5" t="n">
        <v>20</v>
      </c>
      <c r="F5" s="3" t="n">
        <v>21.5</v>
      </c>
      <c r="G5" t="n">
        <v>25</v>
      </c>
      <c r="H5" t="n">
        <v>2</v>
      </c>
      <c r="I5" s="3" t="n">
        <v>18.5</v>
      </c>
      <c r="J5" t="n">
        <v>24</v>
      </c>
    </row>
    <row r="6">
      <c r="A6" t="n">
        <v>2023</v>
      </c>
      <c r="B6" t="inlineStr">
        <is>
          <t>Number of Core Set measures reported</t>
        </is>
      </c>
      <c r="C6" t="inlineStr">
        <is>
          <t>Higher values are better</t>
        </is>
      </c>
      <c r="D6" t="inlineStr">
        <is>
          <t>Mathematica analysis of the QMR system reports for the 2023 Core Set as of May 16, 2024; Mathematica analysis of CDC WONDER data as of October 26, 2023; and AHRQ and CMS analysis of the AHRQ CAHPS Database for the July 2022 to June 2023 data collection period as of January 24, 2024.</t>
        </is>
      </c>
      <c r="E6" t="n">
        <v>24</v>
      </c>
      <c r="F6" s="3" t="n">
        <v>25.5</v>
      </c>
      <c r="G6" t="n">
        <v>27</v>
      </c>
      <c r="H6" t="n">
        <v>3</v>
      </c>
      <c r="I6" t="n">
        <v>23</v>
      </c>
      <c r="J6" t="n">
        <v>27</v>
      </c>
    </row>
    <row r="7">
      <c r="A7" t="n">
        <v>2024</v>
      </c>
      <c r="B7" t="inlineStr">
        <is>
          <t>Number of Core Set measures reported</t>
        </is>
      </c>
      <c r="C7" t="inlineStr">
        <is>
          <t>Higher values are better</t>
        </is>
      </c>
      <c r="D7" t="inlineStr">
        <is>
          <t>Mathematica analysis of the QMR system reports for the 2024 Core Set as of April 28, 2025; Mathematica analysis of CDC WONDER data as of October 30, 2024; and AHRQ and CMS analysis of the AHRQ CAHPS Database for the July 2023 to June 2024 data collection period as of January 28, 2025.</t>
        </is>
      </c>
      <c r="E7" t="n">
        <v>26</v>
      </c>
      <c r="F7" t="n">
        <v>27</v>
      </c>
      <c r="G7" t="n">
        <v>27</v>
      </c>
      <c r="H7" t="n">
        <v>0</v>
      </c>
      <c r="I7" t="n">
        <v>27</v>
      </c>
      <c r="J7"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5" customWidth="1" min="1" max="1"/>
    <col width="13" customWidth="1" min="2" max="2"/>
    <col width="38" customWidth="1" min="3" max="3"/>
    <col width="26" customWidth="1" min="4" max="4"/>
    <col width="60" customWidth="1" min="5" max="5"/>
    <col width="7" customWidth="1" min="6" max="6"/>
    <col width="8" customWidth="1" min="7" max="7"/>
    <col width="9" customWidth="1" min="8" max="8"/>
    <col width="9" customWidth="1" min="9" max="9"/>
    <col width="16" customWidth="1" min="10" max="10"/>
    <col width="16" customWidth="1" min="11" max="11"/>
  </cols>
  <sheetData>
    <row r="1">
      <c r="A1" t="inlineStr">
        <is>
          <t>Measure Name</t>
        </is>
      </c>
      <c r="B1" t="inlineStr">
        <is>
          <t>Adult Core Set Reporting</t>
        </is>
      </c>
    </row>
    <row r="2"/>
    <row r="3">
      <c r="A3" s="1" t="inlineStr">
        <is>
          <t>Measure List</t>
        </is>
      </c>
      <c r="B3" s="1" t="inlineStr">
        <is>
          <t>Data Period</t>
        </is>
      </c>
      <c r="C3" s="1" t="inlineStr">
        <is>
          <t>Value Type</t>
        </is>
      </c>
      <c r="D3" s="1" t="inlineStr">
        <is>
          <t>Value Directionality</t>
        </is>
      </c>
      <c r="E3" s="1" t="inlineStr">
        <is>
          <t>Analysis Source</t>
        </is>
      </c>
      <c r="F3" s="1" t="inlineStr">
        <is>
          <t>Value</t>
        </is>
      </c>
      <c r="G3" s="1" t="inlineStr">
        <is>
          <t>Median</t>
        </is>
      </c>
      <c r="H3" s="1" t="inlineStr">
        <is>
          <t>Maximum</t>
        </is>
      </c>
      <c r="I3" s="1" t="inlineStr">
        <is>
          <t>Minimum</t>
        </is>
      </c>
      <c r="J3" s="1" t="inlineStr">
        <is>
          <t>First quartile</t>
        </is>
      </c>
      <c r="K3" s="1" t="inlineStr">
        <is>
          <t>Third quartile</t>
        </is>
      </c>
    </row>
    <row r="4">
      <c r="A4" t="inlineStr">
        <is>
          <t>All Adult Core Set Measures</t>
        </is>
      </c>
      <c r="B4" t="n">
        <v>2021</v>
      </c>
      <c r="C4" t="inlineStr">
        <is>
          <t>Number of Core Set measures reported</t>
        </is>
      </c>
      <c r="D4" t="inlineStr">
        <is>
          <t>Higher values are better</t>
        </is>
      </c>
      <c r="E4" t="inlineStr">
        <is>
          <t>Mathematica analysis of the QMR system reports for the 2021 Core Set as of June 1, 2023; Mathematica analysis of National Core Indicators – Intellectual and Developmental Disabilities (NCI-IDD) data submitted by states to the NCI National Team for the July 1, 2020 to June 30, 2021 data collection period.</t>
        </is>
      </c>
      <c r="F4" t="n">
        <v>28</v>
      </c>
      <c r="G4" s="3" t="n">
        <v>23.5</v>
      </c>
      <c r="H4" t="n">
        <v>30</v>
      </c>
      <c r="I4" t="n">
        <v>0</v>
      </c>
      <c r="J4" s="3" t="n">
        <v>18.5</v>
      </c>
      <c r="K4" t="n">
        <v>27</v>
      </c>
    </row>
    <row r="5">
      <c r="A5" t="inlineStr">
        <is>
          <t>All Adult Core Set Measures</t>
        </is>
      </c>
      <c r="B5" t="n">
        <v>2022</v>
      </c>
      <c r="C5" t="inlineStr">
        <is>
          <t>Number of Core Set measures reported</t>
        </is>
      </c>
      <c r="D5" t="inlineStr">
        <is>
          <t>Higher values are better</t>
        </is>
      </c>
      <c r="E5" t="inlineStr">
        <is>
          <t>Mathematica analysis of the QMR system reports for the 2022 Core Set as of June 1, 2023; Mathematica analysis of National Core Indicators – Intellectual and Developmental Disabilities (NCI-IDD) data submitted by states to the NCI National Team for the July 1, 2021 to June 30, 2022 data collection period.</t>
        </is>
      </c>
      <c r="F5" t="n">
        <v>33</v>
      </c>
      <c r="G5" t="n">
        <v>26</v>
      </c>
      <c r="H5" t="n">
        <v>33</v>
      </c>
      <c r="I5" t="n">
        <v>0</v>
      </c>
      <c r="J5" s="3" t="n">
        <v>20.5</v>
      </c>
      <c r="K5" t="n">
        <v>29</v>
      </c>
    </row>
    <row r="6">
      <c r="A6" t="inlineStr">
        <is>
          <t>All Adult Core Set Measures</t>
        </is>
      </c>
      <c r="B6" t="n">
        <v>2023</v>
      </c>
      <c r="C6" t="inlineStr">
        <is>
          <t>Number of Core Set measures reported</t>
        </is>
      </c>
      <c r="D6" t="inlineStr">
        <is>
          <t>Higher values are better</t>
        </is>
      </c>
      <c r="E6" t="inlineStr">
        <is>
          <t>Mathematica analysis of the QMR system reports for the 2023 Core Set as of May 16, 2024; Mathematica analysis of National Core Indicators – Intellectual and Developmental Disabilities (NCI-IDD) data submitted by states to the NCI National Team for the July 1, 2022 to June 30, 2023 data collection period as of May 22, 2024; and AHRQ and CMS analysis of the AHRQ CAHPS Database for the July 2022 to June 2023 data collection period as of January 24, 2024.</t>
        </is>
      </c>
      <c r="F6" t="n">
        <v>30</v>
      </c>
      <c r="G6" t="n">
        <v>28</v>
      </c>
      <c r="H6" t="n">
        <v>33</v>
      </c>
      <c r="I6" t="n">
        <v>3</v>
      </c>
      <c r="J6" t="n">
        <v>24</v>
      </c>
      <c r="K6" t="n">
        <v>31</v>
      </c>
    </row>
    <row r="7">
      <c r="A7" t="inlineStr">
        <is>
          <t>All Adult Core Set Measures</t>
        </is>
      </c>
      <c r="B7" t="n">
        <v>2024</v>
      </c>
      <c r="C7" t="inlineStr">
        <is>
          <t>Number of Core Set measures reported</t>
        </is>
      </c>
      <c r="D7" t="inlineStr">
        <is>
          <t>Higher values are better</t>
        </is>
      </c>
      <c r="E7"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7" t="n">
        <v>32</v>
      </c>
      <c r="G7" t="n">
        <v>30</v>
      </c>
      <c r="H7" t="n">
        <v>33</v>
      </c>
      <c r="I7" t="n">
        <v>0</v>
      </c>
      <c r="J7" t="n">
        <v>23</v>
      </c>
      <c r="K7" t="n">
        <v>31</v>
      </c>
    </row>
    <row r="8">
      <c r="A8" t="inlineStr">
        <is>
          <t>Mandatory Adult Core Set Measures (Behavioral Health)</t>
        </is>
      </c>
      <c r="B8" t="n">
        <v>2024</v>
      </c>
      <c r="C8" t="inlineStr">
        <is>
          <t>Number of Core Set measures reported</t>
        </is>
      </c>
      <c r="D8" t="inlineStr">
        <is>
          <t>Higher values are better</t>
        </is>
      </c>
      <c r="E8"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8" t="n">
        <v>11</v>
      </c>
      <c r="G8" t="n">
        <v>11</v>
      </c>
      <c r="H8" t="n">
        <v>11</v>
      </c>
      <c r="I8" t="n">
        <v>0</v>
      </c>
      <c r="J8" t="n">
        <v>11</v>
      </c>
      <c r="K8" t="n">
        <v>11</v>
      </c>
    </row>
    <row r="9">
      <c r="A9" t="inlineStr">
        <is>
          <t>Voluntary Adult Core Set Measures</t>
        </is>
      </c>
      <c r="B9" t="n">
        <v>2024</v>
      </c>
      <c r="C9" t="inlineStr">
        <is>
          <t>Number of Core Set measures reported</t>
        </is>
      </c>
      <c r="D9" t="inlineStr">
        <is>
          <t>Higher values are better</t>
        </is>
      </c>
      <c r="E9" t="inlineStr">
        <is>
          <t>Mathematica analysis of the QMR system reports for the 2024 Core Set as of April 28, 2025; Mathematica analysis of National Core Indicators – Intellectual and Developmental Disabilities (NCI-IDD) data submitted by states to the NCI National Team for the July 1, 2023 to June 30, 2024 data collection period as of May 8, 2025; and AHRQ and CMS analysis of the AHRQ CAHPS Database for the July 2023 to June 2024 data collection period as of January 28, 2025.</t>
        </is>
      </c>
      <c r="F9" t="n">
        <v>21</v>
      </c>
      <c r="G9" t="n">
        <v>19</v>
      </c>
      <c r="H9" t="n">
        <v>22</v>
      </c>
      <c r="I9" t="n">
        <v>0</v>
      </c>
      <c r="J9" t="n">
        <v>13</v>
      </c>
      <c r="K9"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Adherence to Antipsychotic Medications for Individuals with Schizophrenia: Age 18 and Older (SAA-AD)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Schizophrenia or Schizoaffective Disorder who were Dispensed and Remained on Antipsychotic Medication for at Least 80 Percent of their Treatment Period: Age 18 and Older</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(57 MCOs). Rate was audited or validated.</t>
        </is>
      </c>
      <c r="H4" s="4" t="n">
        <v>0.666</v>
      </c>
      <c r="I4" s="4" t="n">
        <v>0.636</v>
      </c>
      <c r="J4" s="4" t="n">
        <v>0.8120000000000001</v>
      </c>
      <c r="K4" s="4" t="n">
        <v>0.383</v>
      </c>
      <c r="L4" s="4" t="n">
        <v>0.587</v>
      </c>
      <c r="M4" s="4" t="n">
        <v>0.681</v>
      </c>
    </row>
    <row r="5">
      <c r="A5" t="n">
        <v>2022</v>
      </c>
      <c r="B5" t="inlineStr">
        <is>
          <t>Medicaid</t>
        </is>
      </c>
      <c r="C5" t="inlineStr">
        <is>
          <t>Administrative</t>
        </is>
      </c>
      <c r="D5" t="inlineStr">
        <is>
          <t>Percentage with Schizophrenia or Schizoaffective Disorder who were Dispensed and Remained on Antipsychotic Medication for at Least 80 Percent of their Treatment Period: Age 18 and Older</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(54 MCOs). Rate was audited or validated.</t>
        </is>
      </c>
      <c r="H5" s="4" t="n">
        <v>0.649</v>
      </c>
      <c r="I5" s="4" t="n">
        <v>0.622</v>
      </c>
      <c r="J5" s="4" t="n">
        <v>0.8090000000000001</v>
      </c>
      <c r="K5" s="4" t="n">
        <v>0.307</v>
      </c>
      <c r="L5" s="4" t="n">
        <v>0.5679999999999999</v>
      </c>
      <c r="M5" s="4" t="n">
        <v>0.671</v>
      </c>
    </row>
    <row r="6">
      <c r="A6" t="n">
        <v>2023</v>
      </c>
      <c r="B6" t="inlineStr">
        <is>
          <t>Medicaid</t>
        </is>
      </c>
      <c r="C6" t="inlineStr">
        <is>
          <t>Administrative</t>
        </is>
      </c>
      <c r="D6" t="inlineStr">
        <is>
          <t>Percentage with Schizophrenia or Schizoaffective Disorder who were Dispensed and Remained on Antipsychotic Medication for at Least 80 Percent of their Treatment Period: Age 18 and Older</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(52 MCOs). Rate was audited or validated.</t>
        </is>
      </c>
      <c r="H6" s="4" t="n">
        <v>0.652</v>
      </c>
      <c r="I6" s="4" t="n">
        <v>0.623</v>
      </c>
      <c r="J6" s="4" t="n">
        <v>0.799</v>
      </c>
      <c r="K6" s="4" t="n">
        <v>0.359</v>
      </c>
      <c r="L6" s="4" t="n">
        <v>0.571</v>
      </c>
      <c r="M6" s="4" t="n">
        <v>0.665</v>
      </c>
    </row>
    <row r="7">
      <c r="A7" t="n">
        <v>2024</v>
      </c>
      <c r="B7" t="inlineStr">
        <is>
          <t>Medicaid (Title XIX)</t>
        </is>
      </c>
      <c r="C7" t="inlineStr">
        <is>
          <t>Administrative</t>
        </is>
      </c>
      <c r="D7" t="inlineStr">
        <is>
          <t>Percentage with Schizophrenia or Schizoaffective Disorder who were Dispensed and Remained on Antipsychotic Medication for at Least 80 Percent of their Treatment Period: Age 18 and Older</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(51 MCOs). Rate was audited or validated.</t>
        </is>
      </c>
      <c r="H7" s="4" t="n">
        <v>0.655</v>
      </c>
      <c r="I7" s="4" t="n">
        <v>0.612</v>
      </c>
      <c r="J7" s="4" t="n">
        <v>0.8110000000000001</v>
      </c>
      <c r="K7" s="4" t="n">
        <v>0.128</v>
      </c>
      <c r="L7" s="4" t="n">
        <v>0.574</v>
      </c>
      <c r="M7" s="4" t="n">
        <v>0.663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Ambulatory Care: Emergency Department (ED) Visits: Ages 0 to 19 (AMB-CH)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&amp; CHIP</t>
        </is>
      </c>
      <c r="C4" t="inlineStr">
        <is>
          <t>Administrative</t>
        </is>
      </c>
      <c r="D4" t="inlineStr">
        <is>
          <t>Emergency Department Visits per 1,000 Beneficiary Months: Ages 0 to 19</t>
        </is>
      </c>
      <c r="E4" t="inlineStr">
        <is>
          <t>Lower values are better</t>
        </is>
      </c>
      <c r="F4" t="inlineStr">
        <is>
          <t>Mathematica analysis of the Quality Measure Reporting (QMR) system reports for the FFY 2021 reporting cycle as of June 1, 2023.</t>
        </is>
      </c>
      <c r="G4" t="inlineStr">
        <is>
          <t>State-specific comments: Rate includes managed care population (16 MCOs). The state described the "other" data sources used to calculate the measure as the following: "Health Plan Billing." Rate was audited or validated. All available age ranges are entered.</t>
        </is>
      </c>
      <c r="H4" s="3" t="n">
        <v>18.9</v>
      </c>
      <c r="I4" s="3" t="n">
        <v>26</v>
      </c>
      <c r="J4" s="3" t="n">
        <v>90.5</v>
      </c>
      <c r="K4" s="3" t="n">
        <v>16.1</v>
      </c>
      <c r="L4" s="3" t="n">
        <v>23.4</v>
      </c>
      <c r="M4" s="3" t="n">
        <v>29.2</v>
      </c>
    </row>
    <row r="5">
      <c r="A5" t="n">
        <v>2022</v>
      </c>
      <c r="B5" t="inlineStr">
        <is>
          <t>Medicaid &amp; CHIP</t>
        </is>
      </c>
      <c r="C5" t="inlineStr">
        <is>
          <t>Administrative</t>
        </is>
      </c>
      <c r="D5" t="inlineStr">
        <is>
          <t>Emergency Department Visits per 1,000 Beneficiary Months: Ages 0 to 19</t>
        </is>
      </c>
      <c r="E5" t="inlineStr">
        <is>
          <t>Lower values are better</t>
        </is>
      </c>
      <c r="F5" t="inlineStr">
        <is>
          <t>Mathematica analysis of the Quality Measure Reporting (QMR) system reports for the FFY 2022 reporting cycle as of June 1, 2023.</t>
        </is>
      </c>
      <c r="G5" t="inlineStr">
        <is>
          <t>State-specific comments: Rate includes managed care population (16 MCOs). The state described the "other" data sources used to calculate the measure as the following: "Health Plan Billing Data." Rate was audited or validated. All available age ranges are entered.</t>
        </is>
      </c>
      <c r="H5" s="3" t="n">
        <v>25.1</v>
      </c>
      <c r="I5" s="3" t="n">
        <v>31.9</v>
      </c>
      <c r="J5" s="3" t="n">
        <v>83.7</v>
      </c>
      <c r="K5" s="3" t="n">
        <v>19.7</v>
      </c>
      <c r="L5" s="3" t="n">
        <v>26</v>
      </c>
      <c r="M5" s="3" t="n">
        <v>36.2</v>
      </c>
    </row>
    <row r="6">
      <c r="A6" t="n">
        <v>2023</v>
      </c>
      <c r="B6" t="inlineStr">
        <is>
          <t>Medicaid &amp; CHIP</t>
        </is>
      </c>
      <c r="C6" t="inlineStr">
        <is>
          <t>Administrative</t>
        </is>
      </c>
      <c r="D6" t="inlineStr">
        <is>
          <t>Emergency Department Visits per 1,000 Beneficiary Months: Ages 0 to 19</t>
        </is>
      </c>
      <c r="E6" t="inlineStr">
        <is>
          <t>Lower values are better</t>
        </is>
      </c>
      <c r="F6" t="inlineStr">
        <is>
          <t>Mathematica analysis of the Quality Measure Reporting (QMR) system reports for the 2023 Core Set as of May 16, 2024.</t>
        </is>
      </c>
      <c r="G6" t="inlineStr">
        <is>
          <t>State-specific comments: Rate includes managed care population (15 MCOs). The state described the "other" data sources used to calculate the measure as the following: "Health Plan Billing Data." Rate was audited or validated. State noted: "All available age ranges are entered."</t>
        </is>
      </c>
      <c r="H6" s="3" t="n">
        <v>32.7</v>
      </c>
      <c r="I6" s="3" t="n">
        <v>36.5</v>
      </c>
      <c r="J6" s="3" t="n">
        <v>106.1</v>
      </c>
      <c r="K6" s="3" t="n">
        <v>22.2</v>
      </c>
      <c r="L6" s="3" t="n">
        <v>33.8</v>
      </c>
      <c r="M6" s="3" t="n">
        <v>40.9</v>
      </c>
    </row>
    <row r="7">
      <c r="A7" t="n">
        <v>2024</v>
      </c>
      <c r="B7" t="inlineStr">
        <is>
          <t>Medicaid (Title XIX), Title XXI-funded Medicaid Expansion CHIP, Separate CHIP (Title XXI)</t>
        </is>
      </c>
      <c r="C7" t="inlineStr">
        <is>
          <t>Administrative</t>
        </is>
      </c>
      <c r="D7" t="inlineStr">
        <is>
          <t>Emergency Department Visits per 1,000 Beneficiary Months: Ages 0 to 19</t>
        </is>
      </c>
      <c r="E7" t="inlineStr">
        <is>
          <t>Lower values are better</t>
        </is>
      </c>
      <c r="F7" t="inlineStr">
        <is>
          <t>Mathematica analysis of the Quality Measure Reporting (QMR) system reports for the 2024 Core Set as of April 28, 2025.</t>
        </is>
      </c>
      <c r="G7" t="inlineStr">
        <is>
          <t>State-specific comments: Rate combines the Medicaid and separate CHIP data reported by the state in the QMR system. See Medicaid and separate CHIP state-specific comments for information about the data reported for each population.</t>
        </is>
      </c>
      <c r="H7" s="3" t="n">
        <v>29.6</v>
      </c>
      <c r="I7" s="3" t="n">
        <v>34.7</v>
      </c>
      <c r="J7" s="3" t="n">
        <v>168.3</v>
      </c>
      <c r="K7" s="3" t="n">
        <v>23.2</v>
      </c>
      <c r="L7" s="3" t="n">
        <v>31.9</v>
      </c>
      <c r="M7" s="3" t="n">
        <v>39.5</v>
      </c>
    </row>
    <row r="8">
      <c r="A8" t="n">
        <v>2024</v>
      </c>
      <c r="B8" t="inlineStr">
        <is>
          <t>Medicaid (Title XIX), Title XXI-funded Medicaid Expansion CHIP</t>
        </is>
      </c>
      <c r="C8" t="inlineStr">
        <is>
          <t>Administrative</t>
        </is>
      </c>
      <c r="D8" t="inlineStr">
        <is>
          <t>Emergency Department Visits per 1,000 Beneficiary Months: Ages 0 to 19</t>
        </is>
      </c>
      <c r="E8" t="inlineStr">
        <is>
          <t>Lower values are better</t>
        </is>
      </c>
      <c r="F8" t="inlineStr">
        <is>
          <t>Mathematica analysis of the Quality Measure Reporting (QMR) system reports for the 2024 Core Set as of April 28, 2025.</t>
        </is>
      </c>
      <c r="G8" t="inlineStr">
        <is>
          <t>State-specific comments: Medicaid rate includes FFS and managed care populations (15 MCOs). The state described the "other" data sources used to calculate the measure as the following: "Health Plan Billing Data." Rate was audited or validated. State noted: "The FFS results are from MMIS data and the Managed Care results from Health Plan billing data."</t>
        </is>
      </c>
      <c r="H8" s="3" t="n">
        <v>31</v>
      </c>
      <c r="I8" s="3" t="n">
        <v>34.7</v>
      </c>
      <c r="J8" s="3" t="n">
        <v>168.3</v>
      </c>
      <c r="K8" s="3" t="n">
        <v>23.2</v>
      </c>
      <c r="L8" s="3" t="n">
        <v>31.9</v>
      </c>
      <c r="M8" s="3" t="n">
        <v>39.5</v>
      </c>
    </row>
    <row r="9">
      <c r="A9" t="n">
        <v>2024</v>
      </c>
      <c r="B9" t="inlineStr">
        <is>
          <t>Separate CHIP (Title XXI)</t>
        </is>
      </c>
      <c r="C9" t="inlineStr">
        <is>
          <t>Administrative</t>
        </is>
      </c>
      <c r="D9" t="inlineStr">
        <is>
          <t>Emergency Department Visits per 1,000 Beneficiary Months: Ages 0 to 19</t>
        </is>
      </c>
      <c r="E9" t="inlineStr">
        <is>
          <t>Lower values are better</t>
        </is>
      </c>
      <c r="F9" t="inlineStr">
        <is>
          <t>Mathematica analysis of the Quality Measure Reporting (QMR) system reports for the 2024 Core Set as of April 28, 2025.</t>
        </is>
      </c>
      <c r="G9" t="inlineStr">
        <is>
          <t>State-specific comments: Separate CHIP rate includes managed care population (12 MCOs). The state described the "other" data sources used to calculate the measure as the following: "New York State All Payer Database." Rate was audited or validated.</t>
        </is>
      </c>
      <c r="H9" s="3" t="n">
        <v>19.5</v>
      </c>
      <c r="I9" s="3" t="n">
        <v>34.7</v>
      </c>
      <c r="J9" s="3" t="n">
        <v>168.3</v>
      </c>
      <c r="K9" s="3" t="n">
        <v>23.2</v>
      </c>
      <c r="L9" s="3" t="n">
        <v>31.9</v>
      </c>
      <c r="M9" s="3" t="n">
        <v>39.5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30"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Antidepressant Medication Management: Age 18 and Older (AMM-AD)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Acute Phase Treatment</t>
        </is>
      </c>
      <c r="B4" t="n">
        <v>2021</v>
      </c>
      <c r="C4" t="inlineStr">
        <is>
          <t>Medicaid</t>
        </is>
      </c>
      <c r="D4" t="inlineStr">
        <is>
          <t>Administrative</t>
        </is>
      </c>
      <c r="E4" t="inlineStr">
        <is>
          <t>Percentage with a Diagnosis of Major Depression who were Treated with and Remained on an Antidepressant Medication for 12 Weeks: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(57 MCOs). Rates were audited or validated. Numerator and Denominator include age 65+ population.</t>
        </is>
      </c>
      <c r="I4" s="4" t="n">
        <v>0.543</v>
      </c>
      <c r="J4" s="4" t="n">
        <v>0.554</v>
      </c>
      <c r="K4" s="4" t="n">
        <v>0.761</v>
      </c>
      <c r="L4" s="4" t="n">
        <v>0.193</v>
      </c>
      <c r="M4" s="4" t="n">
        <v>0.523</v>
      </c>
      <c r="N4" s="4" t="n">
        <v>0.605</v>
      </c>
    </row>
    <row r="5">
      <c r="A5" t="inlineStr">
        <is>
          <t>Acute Phase Treatment</t>
        </is>
      </c>
      <c r="B5" t="n">
        <v>2022</v>
      </c>
      <c r="C5" t="inlineStr">
        <is>
          <t>Medicaid</t>
        </is>
      </c>
      <c r="D5" t="inlineStr">
        <is>
          <t>Administrative</t>
        </is>
      </c>
      <c r="E5" t="inlineStr">
        <is>
          <t>Percentage with a Diagnosis of Major Depression who were Treated with and Remained on an Antidepressant Medication for 12 Weeks: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(54 MCOs). Rates were audited or validated. State reported using HEDIS age groups. Numerator and denominator include age 65+ population.</t>
        </is>
      </c>
      <c r="I5" s="4" t="n">
        <v>0.569</v>
      </c>
      <c r="J5" s="4" t="n">
        <v>0.588</v>
      </c>
      <c r="K5" s="4" t="n">
        <v>0.855</v>
      </c>
      <c r="L5" s="4" t="n">
        <v>0.46</v>
      </c>
      <c r="M5" s="4" t="n">
        <v>0.546</v>
      </c>
      <c r="N5" s="4" t="n">
        <v>0.64</v>
      </c>
    </row>
    <row r="6">
      <c r="A6" t="inlineStr">
        <is>
          <t>Acute Phase Treatment</t>
        </is>
      </c>
      <c r="B6" t="n">
        <v>2023</v>
      </c>
      <c r="C6" t="inlineStr">
        <is>
          <t>Medicaid</t>
        </is>
      </c>
      <c r="D6" t="inlineStr">
        <is>
          <t>Administrative</t>
        </is>
      </c>
      <c r="E6" t="inlineStr">
        <is>
          <t>Percentage with a Diagnosis of Major Depression who were Treated with and Remained on an Antidepressant Medication for 12 Weeks: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(53 MCOs). Rates were audited or validated.</t>
        </is>
      </c>
      <c r="I6" s="4" t="n">
        <v>0.5570000000000001</v>
      </c>
      <c r="J6" s="4" t="n">
        <v>0.587</v>
      </c>
      <c r="K6" s="4" t="n">
        <v>0.79</v>
      </c>
      <c r="L6" s="4" t="n">
        <v>0.418</v>
      </c>
      <c r="M6" s="4" t="n">
        <v>0.538</v>
      </c>
      <c r="N6" s="4" t="n">
        <v>0.64</v>
      </c>
    </row>
    <row r="7">
      <c r="A7" t="inlineStr">
        <is>
          <t>Acute Phase Treatment</t>
        </is>
      </c>
      <c r="B7" t="n">
        <v>2024</v>
      </c>
      <c r="C7" t="inlineStr">
        <is>
          <t>Medicaid (Title XIX)</t>
        </is>
      </c>
      <c r="D7" t="inlineStr">
        <is>
          <t>Administrative</t>
        </is>
      </c>
      <c r="E7" t="inlineStr">
        <is>
          <t>Percentage with a Diagnosis of Major Depression who were Treated with and Remained on an Antidepressant Medication for 12 Weeks: Ages 18 to 64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(50 MCOs). State reported that rates exclude the following populations: "Excludes the dual-eligible population - data not available." Rates were audited or validated.</t>
        </is>
      </c>
      <c r="I7" s="4" t="n">
        <v>0.5659999999999999</v>
      </c>
      <c r="J7" s="4" t="n">
        <v>0.611</v>
      </c>
      <c r="K7" s="4" t="n">
        <v>0.788</v>
      </c>
      <c r="L7" s="4" t="n">
        <v>0.456</v>
      </c>
      <c r="M7" s="4" t="n">
        <v>0.555</v>
      </c>
      <c r="N7" s="4" t="n">
        <v>0.667</v>
      </c>
    </row>
    <row r="8">
      <c r="A8" t="inlineStr">
        <is>
          <t>Continuation Phase Treatment</t>
        </is>
      </c>
      <c r="B8" t="n">
        <v>2021</v>
      </c>
      <c r="C8" t="inlineStr">
        <is>
          <t>Medicaid</t>
        </is>
      </c>
      <c r="D8" t="inlineStr">
        <is>
          <t>Administrative</t>
        </is>
      </c>
      <c r="E8" t="inlineStr">
        <is>
          <t>Percentage with a Diagnosis of Major Depression who were Treated with and Remained on an Antidepressant Medication for the Continuation Phase (6 Months): Ages 18 to 64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(57 MCOs). Rates were audited or validated. Numerator and Denominator include age 65+ population.</t>
        </is>
      </c>
      <c r="I8" s="4" t="n">
        <v>0.399</v>
      </c>
      <c r="J8" s="4" t="n">
        <v>0.403</v>
      </c>
      <c r="K8" s="4" t="n">
        <v>0.613</v>
      </c>
      <c r="L8" s="4" t="n">
        <v>0.053</v>
      </c>
      <c r="M8" s="4" t="n">
        <v>0.334</v>
      </c>
      <c r="N8" s="4" t="n">
        <v>0.449</v>
      </c>
    </row>
    <row r="9">
      <c r="A9" t="inlineStr">
        <is>
          <t>Continuation Phase Treatment</t>
        </is>
      </c>
      <c r="B9" t="n">
        <v>2022</v>
      </c>
      <c r="C9" t="inlineStr">
        <is>
          <t>Medicaid</t>
        </is>
      </c>
      <c r="D9" t="inlineStr">
        <is>
          <t>Administrative</t>
        </is>
      </c>
      <c r="E9" t="inlineStr">
        <is>
          <t>Percentage with a Diagnosis of Major Depression who were Treated with and Remained on an Antidepressant Medication for the Continuation Phase (6 Months): Ages 18 to 64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(54 MCOs). Rates were audited or validated. State reported using HEDIS age groups. Numerator and denominator include age 65+ population.</t>
        </is>
      </c>
      <c r="I9" s="4" t="n">
        <v>0.418</v>
      </c>
      <c r="J9" s="4" t="n">
        <v>0.418</v>
      </c>
      <c r="K9" s="4" t="n">
        <v>0.65</v>
      </c>
      <c r="L9" s="4" t="n">
        <v>0.189</v>
      </c>
      <c r="M9" s="4" t="n">
        <v>0.354</v>
      </c>
      <c r="N9" s="4" t="n">
        <v>0.461</v>
      </c>
    </row>
    <row r="10">
      <c r="A10" t="inlineStr">
        <is>
          <t>Continuation Phase Treatment</t>
        </is>
      </c>
      <c r="B10" t="n">
        <v>2023</v>
      </c>
      <c r="C10" t="inlineStr">
        <is>
          <t>Medicaid</t>
        </is>
      </c>
      <c r="D10" t="inlineStr">
        <is>
          <t>Administrative</t>
        </is>
      </c>
      <c r="E10" t="inlineStr">
        <is>
          <t>Percentage with a Diagnosis of Major Depression who were Treated with and Remained on an Antidepressant Medication for the Continuation Phase (6 Months): Ages 18 to 64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(53 MCOs). Rates were audited or validated.</t>
        </is>
      </c>
      <c r="I10" s="4" t="n">
        <v>0.406</v>
      </c>
      <c r="J10" s="4" t="n">
        <v>0.406</v>
      </c>
      <c r="K10" s="4" t="n">
        <v>0.648</v>
      </c>
      <c r="L10" s="4" t="n">
        <v>0.187</v>
      </c>
      <c r="M10" s="4" t="n">
        <v>0.347</v>
      </c>
      <c r="N10" s="4" t="n">
        <v>0.449</v>
      </c>
    </row>
    <row r="11">
      <c r="A11" t="inlineStr">
        <is>
          <t>Continuation Phase Treatment</t>
        </is>
      </c>
      <c r="B11" t="n">
        <v>2024</v>
      </c>
      <c r="C11" t="inlineStr">
        <is>
          <t>Medicaid (Title XIX)</t>
        </is>
      </c>
      <c r="D11" t="inlineStr">
        <is>
          <t>Administrative</t>
        </is>
      </c>
      <c r="E11" t="inlineStr">
        <is>
          <t>Percentage with a Diagnosis of Major Depression who were Treated with and Remained on an Antidepressant Medication for the Continuation Phase (6 Months): Ages 18 to 64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(50 MCOs). State reported that rates exclude the following populations: "Excludes the dual-eligible population - data not available." Rates were audited or validated.</t>
        </is>
      </c>
      <c r="I11" s="4" t="n">
        <v>0.415</v>
      </c>
      <c r="J11" s="4" t="n">
        <v>0.421</v>
      </c>
      <c r="K11" s="4" t="n">
        <v>0.651</v>
      </c>
      <c r="L11" s="4" t="n">
        <v>0.227</v>
      </c>
      <c r="M11" s="4" t="n">
        <v>0.349</v>
      </c>
      <c r="N11" s="4" t="n">
        <v>0.469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22"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Asthma Medication Ratio: Ages 5 to 18 (AMR-CH)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12 to 18</t>
        </is>
      </c>
      <c r="B4" t="n">
        <v>2021</v>
      </c>
      <c r="C4" t="inlineStr">
        <is>
          <t>Medicaid &amp; CHIP</t>
        </is>
      </c>
      <c r="D4" t="inlineStr">
        <is>
          <t>Administrative</t>
        </is>
      </c>
      <c r="E4" t="inlineStr">
        <is>
          <t>Percentage with Persistent Asthma who had a Ratio of Controller Medications to Total Asthma Medications of 0.50 or Greater: Ages 12 to 18</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0.629</v>
      </c>
      <c r="J4" s="4" t="n">
        <v>0.704</v>
      </c>
      <c r="K4" s="4" t="n">
        <v>0.896</v>
      </c>
      <c r="L4" s="4" t="n">
        <v>0.471</v>
      </c>
      <c r="M4" s="4" t="n">
        <v>0.651</v>
      </c>
      <c r="N4" s="4" t="n">
        <v>0.729</v>
      </c>
    </row>
    <row r="5">
      <c r="A5" t="inlineStr">
        <is>
          <t>Ages 12 to 18</t>
        </is>
      </c>
      <c r="B5" t="n">
        <v>2022</v>
      </c>
      <c r="C5" t="inlineStr">
        <is>
          <t>Medicaid &amp; CHIP</t>
        </is>
      </c>
      <c r="D5" t="inlineStr">
        <is>
          <t>Administrative</t>
        </is>
      </c>
      <c r="E5" t="inlineStr">
        <is>
          <t>Percentage with Persistent Asthma who had a Ratio of Controller Medications to Total Asthma Medications of 0.50 or Greater: Ages 12 to 18</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Rates were audited or validated.</t>
        </is>
      </c>
      <c r="I5" s="4" t="n">
        <v>0.62</v>
      </c>
      <c r="J5" s="4" t="n">
        <v>0.6879999999999999</v>
      </c>
      <c r="K5" s="4" t="n">
        <v>0.901</v>
      </c>
      <c r="L5" s="4" t="n">
        <v>0.284</v>
      </c>
      <c r="M5" s="4" t="n">
        <v>0.648</v>
      </c>
      <c r="N5" s="4" t="n">
        <v>0.725</v>
      </c>
    </row>
    <row r="6">
      <c r="A6" t="inlineStr">
        <is>
          <t>Ages 12 to 18</t>
        </is>
      </c>
      <c r="B6" t="n">
        <v>2023</v>
      </c>
      <c r="C6" t="inlineStr">
        <is>
          <t>Medicaid &amp; CHIP</t>
        </is>
      </c>
      <c r="D6" t="inlineStr">
        <is>
          <t>Administrative</t>
        </is>
      </c>
      <c r="E6" t="inlineStr">
        <is>
          <t>Percentage with Persistent Asthma who had a Ratio of Controller Medications to Total Asthma Medications of 0.50 or Greater: Ages 12 to 18</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0.625</v>
      </c>
      <c r="J6" s="4" t="n">
        <v>0.6870000000000001</v>
      </c>
      <c r="K6" s="4" t="n">
        <v>0.925</v>
      </c>
      <c r="L6" s="4" t="n">
        <v>0.356</v>
      </c>
      <c r="M6" s="4" t="n">
        <v>0.647</v>
      </c>
      <c r="N6" s="4" t="n">
        <v>0.729</v>
      </c>
    </row>
    <row r="7">
      <c r="A7" t="inlineStr">
        <is>
          <t>Ages 12 to 18</t>
        </is>
      </c>
      <c r="B7" t="n">
        <v>2024</v>
      </c>
      <c r="C7" t="inlineStr">
        <is>
          <t>Medicaid (Title XIX), Title XXI-funded Medicaid Expansion CHIP, Separate CHIP (Title XXI)</t>
        </is>
      </c>
      <c r="D7" t="inlineStr">
        <is>
          <t>Administrative</t>
        </is>
      </c>
      <c r="E7" t="inlineStr">
        <is>
          <t>Percentage with Persistent Asthma who had a Ratio of Controller Medications to Total Asthma Medications of 0.50 or Greater: Ages 12 to 18</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0.706</v>
      </c>
      <c r="J7" s="4" t="n">
        <v>0.6909999999999999</v>
      </c>
      <c r="K7" s="4" t="n">
        <v>0.976</v>
      </c>
      <c r="L7" s="4" t="n">
        <v>0.374</v>
      </c>
      <c r="M7" s="4" t="n">
        <v>0.62</v>
      </c>
      <c r="N7" s="4" t="n">
        <v>0.736</v>
      </c>
    </row>
    <row r="8">
      <c r="A8" t="inlineStr">
        <is>
          <t>Ages 12 to 18</t>
        </is>
      </c>
      <c r="B8" t="n">
        <v>2024</v>
      </c>
      <c r="C8" t="inlineStr">
        <is>
          <t>Medicaid (Title XIX), Title XXI-funded Medicaid Expansion CHIP</t>
        </is>
      </c>
      <c r="D8" t="inlineStr">
        <is>
          <t>Administrative</t>
        </is>
      </c>
      <c r="E8" t="inlineStr">
        <is>
          <t>Percentage with Persistent Asthma who had a Ratio of Controller Medications to Total Asthma Medications of 0.50 or Greater: Ages 12 to 18</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0.699</v>
      </c>
      <c r="J8" s="4" t="n">
        <v>0.6909999999999999</v>
      </c>
      <c r="K8" s="4" t="n">
        <v>0.976</v>
      </c>
      <c r="L8" s="4" t="n">
        <v>0.374</v>
      </c>
      <c r="M8" s="4" t="n">
        <v>0.62</v>
      </c>
      <c r="N8" s="4" t="n">
        <v>0.736</v>
      </c>
    </row>
    <row r="9">
      <c r="A9" t="inlineStr">
        <is>
          <t>Ages 12 to 18</t>
        </is>
      </c>
      <c r="B9" t="n">
        <v>2024</v>
      </c>
      <c r="C9" t="inlineStr">
        <is>
          <t>Separate CHIP (Title XXI)</t>
        </is>
      </c>
      <c r="D9" t="inlineStr">
        <is>
          <t>Administrative</t>
        </is>
      </c>
      <c r="E9" t="inlineStr">
        <is>
          <t>Percentage with Persistent Asthma who had a Ratio of Controller Medications to Total Asthma Medications of 0.50 or Greater: Ages 12 to 18</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0.745</v>
      </c>
      <c r="J9" s="4" t="n">
        <v>0.6909999999999999</v>
      </c>
      <c r="K9" s="4" t="n">
        <v>0.976</v>
      </c>
      <c r="L9" s="4" t="n">
        <v>0.374</v>
      </c>
      <c r="M9" s="4" t="n">
        <v>0.62</v>
      </c>
      <c r="N9" s="4" t="n">
        <v>0.736</v>
      </c>
    </row>
    <row r="10">
      <c r="A10" t="inlineStr">
        <is>
          <t>Ages 5 to 11</t>
        </is>
      </c>
      <c r="B10" t="n">
        <v>2021</v>
      </c>
      <c r="C10" t="inlineStr">
        <is>
          <t>Medicaid &amp; CHIP</t>
        </is>
      </c>
      <c r="D10" t="inlineStr">
        <is>
          <t>Administrative</t>
        </is>
      </c>
      <c r="E10" t="inlineStr">
        <is>
          <t>Percentage with Persistent Asthma who had a Ratio of Controller Medications to Total Asthma Medications of 0.50 or Greater: Ages 5 to 11</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Rates were audited or validated.</t>
        </is>
      </c>
      <c r="I10" s="4" t="n">
        <v>0.718</v>
      </c>
      <c r="J10" s="4" t="n">
        <v>0.783</v>
      </c>
      <c r="K10" s="4" t="n">
        <v>0.959</v>
      </c>
      <c r="L10" s="4" t="n">
        <v>0.446</v>
      </c>
      <c r="M10" s="4" t="n">
        <v>0.75</v>
      </c>
      <c r="N10" s="4" t="n">
        <v>0.8179999999999999</v>
      </c>
    </row>
    <row r="11">
      <c r="A11" t="inlineStr">
        <is>
          <t>Ages 5 to 11</t>
        </is>
      </c>
      <c r="B11" t="n">
        <v>2022</v>
      </c>
      <c r="C11" t="inlineStr">
        <is>
          <t>Medicaid &amp; CHIP</t>
        </is>
      </c>
      <c r="D11" t="inlineStr">
        <is>
          <t>Administrative</t>
        </is>
      </c>
      <c r="E11" t="inlineStr">
        <is>
          <t>Percentage with Persistent Asthma who had a Ratio of Controller Medications to Total Asthma Medications of 0.50 or Greater: Ages 5 to 11</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Rates were audited or validated.</t>
        </is>
      </c>
      <c r="I11" s="4" t="n">
        <v>0.6889999999999999</v>
      </c>
      <c r="J11" s="4" t="n">
        <v>0.773</v>
      </c>
      <c r="K11" s="4" t="n">
        <v>0.9389999999999999</v>
      </c>
      <c r="L11" s="4" t="n">
        <v>0.364</v>
      </c>
      <c r="M11" s="4" t="n">
        <v>0.732</v>
      </c>
      <c r="N11" s="4" t="n">
        <v>0.8070000000000001</v>
      </c>
    </row>
    <row r="12">
      <c r="A12" t="inlineStr">
        <is>
          <t>Ages 5 to 11</t>
        </is>
      </c>
      <c r="B12" t="n">
        <v>2023</v>
      </c>
      <c r="C12" t="inlineStr">
        <is>
          <t>Medicaid &amp; CHIP</t>
        </is>
      </c>
      <c r="D12" t="inlineStr">
        <is>
          <t>Administrative</t>
        </is>
      </c>
      <c r="E12" t="inlineStr">
        <is>
          <t>Percentage with Persistent Asthma who had a Ratio of Controller Medications to Total Asthma Medications of 0.50 or Greater: Ages 5 to 11</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Rates were audited or validated.</t>
        </is>
      </c>
      <c r="I12" s="4" t="n">
        <v>0.671</v>
      </c>
      <c r="J12" s="4" t="n">
        <v>0.759</v>
      </c>
      <c r="K12" s="4" t="n">
        <v>0.922</v>
      </c>
      <c r="L12" s="4" t="n">
        <v>0.471</v>
      </c>
      <c r="M12" s="4" t="n">
        <v>0.713</v>
      </c>
      <c r="N12" s="4" t="n">
        <v>0.8120000000000001</v>
      </c>
    </row>
    <row r="13">
      <c r="A13" t="inlineStr">
        <is>
          <t>Ages 5 to 11</t>
        </is>
      </c>
      <c r="B13" t="n">
        <v>2024</v>
      </c>
      <c r="C13" t="inlineStr">
        <is>
          <t>Medicaid (Title XIX), Title XXI-funded Medicaid Expansion CHIP, Separate CHIP (Title XXI)</t>
        </is>
      </c>
      <c r="D13" t="inlineStr">
        <is>
          <t>Administrative</t>
        </is>
      </c>
      <c r="E13" t="inlineStr">
        <is>
          <t>Percentage with Persistent Asthma who had a Ratio of Controller Medications to Total Asthma Medications of 0.50 or Greater: Ages 5 to 11</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0.75</v>
      </c>
      <c r="J13" s="4" t="n">
        <v>0.732</v>
      </c>
      <c r="K13" s="4" t="n">
        <v>0.995</v>
      </c>
      <c r="L13" s="4" t="n">
        <v>0.369</v>
      </c>
      <c r="M13" s="4" t="n">
        <v>0.653</v>
      </c>
      <c r="N13" s="4" t="n">
        <v>0.8</v>
      </c>
    </row>
    <row r="14">
      <c r="A14" t="inlineStr">
        <is>
          <t>Ages 5 to 11</t>
        </is>
      </c>
      <c r="B14" t="n">
        <v>2024</v>
      </c>
      <c r="C14" t="inlineStr">
        <is>
          <t>Medicaid (Title XIX), Title XXI-funded Medicaid Expansion CHIP</t>
        </is>
      </c>
      <c r="D14" t="inlineStr">
        <is>
          <t>Administrative</t>
        </is>
      </c>
      <c r="E14" t="inlineStr">
        <is>
          <t>Percentage with Persistent Asthma who had a Ratio of Controller Medications to Total Asthma Medications of 0.50 or Greater: Ages 5 to 11</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(15 MCOs). The state described the "other" data sources used to calculate the measure as the following: "Health Plan Billing Data." Rates were audited or validated.</t>
        </is>
      </c>
      <c r="I14" s="4" t="n">
        <v>0.739</v>
      </c>
      <c r="J14" s="4" t="n">
        <v>0.732</v>
      </c>
      <c r="K14" s="4" t="n">
        <v>0.995</v>
      </c>
      <c r="L14" s="4" t="n">
        <v>0.369</v>
      </c>
      <c r="M14" s="4" t="n">
        <v>0.653</v>
      </c>
      <c r="N14" s="4" t="n">
        <v>0.8</v>
      </c>
    </row>
    <row r="15">
      <c r="A15" t="inlineStr">
        <is>
          <t>Ages 5 to 11</t>
        </is>
      </c>
      <c r="B15" t="n">
        <v>2024</v>
      </c>
      <c r="C15" t="inlineStr">
        <is>
          <t>Separate CHIP (Title XXI)</t>
        </is>
      </c>
      <c r="D15" t="inlineStr">
        <is>
          <t>Administrative</t>
        </is>
      </c>
      <c r="E15" t="inlineStr">
        <is>
          <t>Percentage with Persistent Asthma who had a Ratio of Controller Medications to Total Asthma Medications of 0.50 or Greater: Ages 5 to 11</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Data." Rates were audited or validated.</t>
        </is>
      </c>
      <c r="I15" s="4" t="n">
        <v>0.8090000000000001</v>
      </c>
      <c r="J15" s="4" t="n">
        <v>0.732</v>
      </c>
      <c r="K15" s="4" t="n">
        <v>0.995</v>
      </c>
      <c r="L15" s="4" t="n">
        <v>0.369</v>
      </c>
      <c r="M15" s="4" t="n">
        <v>0.653</v>
      </c>
      <c r="N15" s="4" t="n">
        <v>0.8</v>
      </c>
    </row>
    <row r="16">
      <c r="A16" t="inlineStr">
        <is>
          <t>Total (Ages 5 to 18)</t>
        </is>
      </c>
      <c r="B16" t="n">
        <v>2021</v>
      </c>
      <c r="C16" t="inlineStr">
        <is>
          <t>Medicaid &amp; CHIP</t>
        </is>
      </c>
      <c r="D16" t="inlineStr">
        <is>
          <t>Administrative</t>
        </is>
      </c>
      <c r="E16" t="inlineStr">
        <is>
          <t>Percentage with Persistent Asthma who had a Ratio of Controller Medications to Total Asthma Medications of 0.50 or Greater: Ages 5 to 18</t>
        </is>
      </c>
      <c r="F16" t="inlineStr">
        <is>
          <t>Higher values are better</t>
        </is>
      </c>
      <c r="G16" t="inlineStr">
        <is>
          <t>Mathematica analysis of the Quality Measure Reporting (QMR) system reports for the FFY 2021 reporting cycle as of June 1, 2023.</t>
        </is>
      </c>
      <c r="H16" t="inlineStr">
        <is>
          <t>State-specific comments: Rates include managed care population (16 MCOs). The state described the "other" data sources used to calculate the measure as the following: "Health Plan Billing Data." Rates were audited or validated.</t>
        </is>
      </c>
      <c r="I16" s="4" t="n">
        <v>0.677</v>
      </c>
      <c r="J16" s="4" t="n">
        <v>0.743</v>
      </c>
      <c r="K16" s="4" t="n">
        <v>0.924</v>
      </c>
      <c r="L16" s="4" t="n">
        <v>0.524</v>
      </c>
      <c r="M16" s="4" t="n">
        <v>0.697</v>
      </c>
      <c r="N16" s="4" t="n">
        <v>0.767</v>
      </c>
    </row>
    <row r="17">
      <c r="A17" t="inlineStr">
        <is>
          <t>Total (Ages 5 to 18)</t>
        </is>
      </c>
      <c r="B17" t="n">
        <v>2022</v>
      </c>
      <c r="C17" t="inlineStr">
        <is>
          <t>Medicaid &amp; CHIP</t>
        </is>
      </c>
      <c r="D17" t="inlineStr">
        <is>
          <t>Administrative</t>
        </is>
      </c>
      <c r="E17" t="inlineStr">
        <is>
          <t>Percentage with Persistent Asthma who had a Ratio of Controller Medications to Total Asthma Medications of 0.50 or Greater: Ages 5 to 18</t>
        </is>
      </c>
      <c r="F17" t="inlineStr">
        <is>
          <t>Higher values are better</t>
        </is>
      </c>
      <c r="G17" t="inlineStr">
        <is>
          <t>Mathematica analysis of the Quality Measure Reporting (QMR) system reports for the FFY 2022 reporting cycle as of June 1, 2023.</t>
        </is>
      </c>
      <c r="H17" t="inlineStr">
        <is>
          <t>State-specific comments: Rates include managed care population (16 MCOs). The state described the "other" data sources used to calculate the measure as the following: "Health Plan Billing Data." Rates were audited or validated.</t>
        </is>
      </c>
      <c r="I17" s="4" t="n">
        <v>0.655</v>
      </c>
      <c r="J17" s="4" t="n">
        <v>0.731</v>
      </c>
      <c r="K17" s="4" t="n">
        <v>0.927</v>
      </c>
      <c r="L17" s="4" t="n">
        <v>0.317</v>
      </c>
      <c r="M17" s="4" t="n">
        <v>0.681</v>
      </c>
      <c r="N17" s="4" t="n">
        <v>0.765</v>
      </c>
    </row>
    <row r="18">
      <c r="A18" t="inlineStr">
        <is>
          <t>Total (Ages 5 to 18)</t>
        </is>
      </c>
      <c r="B18" t="n">
        <v>2023</v>
      </c>
      <c r="C18" t="inlineStr">
        <is>
          <t>Medicaid &amp; CHIP</t>
        </is>
      </c>
      <c r="D18" t="inlineStr">
        <is>
          <t>Administrative</t>
        </is>
      </c>
      <c r="E18" t="inlineStr">
        <is>
          <t>Percentage with Persistent Asthma who had a Ratio of Controller Medications to Total Asthma Medications of 0.50 or Greater: Ages 5 to 18</t>
        </is>
      </c>
      <c r="F18" t="inlineStr">
        <is>
          <t>Higher values are better</t>
        </is>
      </c>
      <c r="G18" t="inlineStr">
        <is>
          <t>Mathematica analysis of the Quality Measure Reporting (QMR) system reports for the 2023 Core Set as of May 16, 2024.</t>
        </is>
      </c>
      <c r="H18" t="inlineStr">
        <is>
          <t>State-specific comments: Rates include managed care population (15 MCOs). The state described the "other" data sources used to calculate the measure as the following: "Health Plan Billing Data." Rates were audited or validated.</t>
        </is>
      </c>
      <c r="I18" s="4" t="n">
        <v>0.648</v>
      </c>
      <c r="J18" s="4" t="n">
        <v>0.716</v>
      </c>
      <c r="K18" s="4" t="n">
        <v>0.921</v>
      </c>
      <c r="L18" s="4" t="n">
        <v>0.408</v>
      </c>
      <c r="M18" s="4" t="n">
        <v>0.6830000000000001</v>
      </c>
      <c r="N18" s="4" t="n">
        <v>0.763</v>
      </c>
    </row>
    <row r="19">
      <c r="A19" t="inlineStr">
        <is>
          <t>Total (Ages 5 to 18)</t>
        </is>
      </c>
      <c r="B19" t="n">
        <v>2024</v>
      </c>
      <c r="C19" t="inlineStr">
        <is>
          <t>Medicaid (Title XIX), Title XXI-funded Medicaid Expansion CHIP, Separate CHIP (Title XXI)</t>
        </is>
      </c>
      <c r="D19" t="inlineStr">
        <is>
          <t>Administrative</t>
        </is>
      </c>
      <c r="E19" t="inlineStr">
        <is>
          <t>Percentage with Persistent Asthma who had a Ratio of Controller Medications to Total Asthma Medications of 0.50 or Greater: Ages 5 to 18</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0.73</v>
      </c>
      <c r="J19" s="4" t="n">
        <v>0.701</v>
      </c>
      <c r="K19" s="4" t="n">
        <v>0.956</v>
      </c>
      <c r="L19" s="4" t="n">
        <v>0.406</v>
      </c>
      <c r="M19" s="4" t="n">
        <v>0.638</v>
      </c>
      <c r="N19" s="4" t="n">
        <v>0.765</v>
      </c>
    </row>
    <row r="20">
      <c r="A20" t="inlineStr">
        <is>
          <t>Total (Ages 5 to 18)</t>
        </is>
      </c>
      <c r="B20" t="n">
        <v>2024</v>
      </c>
      <c r="C20" t="inlineStr">
        <is>
          <t>Medicaid (Title XIX), Title XXI-funded Medicaid Expansion CHIP</t>
        </is>
      </c>
      <c r="D20" t="inlineStr">
        <is>
          <t>Administrative</t>
        </is>
      </c>
      <c r="E20" t="inlineStr">
        <is>
          <t>Percentage with Persistent Asthma who had a Ratio of Controller Medications to Total Asthma Medications of 0.50 or Greater: Ages 5 to 18</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(15 MCOs). The state described the "other" data sources used to calculate the measure as the following: "Health Plan Billing Data." Rates were audited or validated.</t>
        </is>
      </c>
      <c r="I20" s="4" t="n">
        <v>0.721</v>
      </c>
      <c r="J20" s="4" t="n">
        <v>0.701</v>
      </c>
      <c r="K20" s="4" t="n">
        <v>0.956</v>
      </c>
      <c r="L20" s="4" t="n">
        <v>0.406</v>
      </c>
      <c r="M20" s="4" t="n">
        <v>0.638</v>
      </c>
      <c r="N20" s="4" t="n">
        <v>0.765</v>
      </c>
    </row>
    <row r="21">
      <c r="A21" t="inlineStr">
        <is>
          <t>Total (Ages 5 to 18)</t>
        </is>
      </c>
      <c r="B21" t="n">
        <v>2024</v>
      </c>
      <c r="C21" t="inlineStr">
        <is>
          <t>Separate CHIP (Title XXI)</t>
        </is>
      </c>
      <c r="D21" t="inlineStr">
        <is>
          <t>Administrative</t>
        </is>
      </c>
      <c r="E21" t="inlineStr">
        <is>
          <t>Percentage with Persistent Asthma who had a Ratio of Controller Medications to Total Asthma Medications of 0.50 or Greater: Ages 5 to 18</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(12 MCOs). The state described the "other" data sources used to calculate the measure as the following: "Health Plan Billing Data." Rates were audited or validated.</t>
        </is>
      </c>
      <c r="I21" s="4" t="n">
        <v>0.78</v>
      </c>
      <c r="J21" s="4" t="n">
        <v>0.701</v>
      </c>
      <c r="K21" s="4" t="n">
        <v>0.956</v>
      </c>
      <c r="L21" s="4" t="n">
        <v>0.406</v>
      </c>
      <c r="M21" s="4" t="n">
        <v>0.638</v>
      </c>
      <c r="N21" s="4" t="n">
        <v>0.765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3"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Asthma Medication Ratio: Ages 19 to 64 (AMR-AD)</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19 to 50</t>
        </is>
      </c>
      <c r="B4" t="n">
        <v>2021</v>
      </c>
      <c r="C4" t="inlineStr">
        <is>
          <t>Medicaid</t>
        </is>
      </c>
      <c r="D4" t="inlineStr">
        <is>
          <t>Administrative</t>
        </is>
      </c>
      <c r="E4" t="inlineStr">
        <is>
          <t>Percentage with Persistent Asthma who had a Ratio of Controller Medications to Total Asthma Medications of 0.50 or Greater: Ages 19 to 50</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(57 MCOs). Rates were audited or validated.</t>
        </is>
      </c>
      <c r="I4" s="4" t="n">
        <v>0.486</v>
      </c>
      <c r="J4" s="4" t="n">
        <v>0.5590000000000001</v>
      </c>
      <c r="K4" s="4" t="n">
        <v>0.8080000000000001</v>
      </c>
      <c r="L4" s="4" t="n">
        <v>0.431</v>
      </c>
      <c r="M4" s="4" t="n">
        <v>0.524</v>
      </c>
      <c r="N4" s="4" t="n">
        <v>0.585</v>
      </c>
    </row>
    <row r="5">
      <c r="A5" t="inlineStr">
        <is>
          <t>Ages 19 to 50</t>
        </is>
      </c>
      <c r="B5" t="n">
        <v>2022</v>
      </c>
      <c r="C5" t="inlineStr">
        <is>
          <t>Medicaid</t>
        </is>
      </c>
      <c r="D5" t="inlineStr">
        <is>
          <t>Administrative</t>
        </is>
      </c>
      <c r="E5" t="inlineStr">
        <is>
          <t>Percentage with Persistent Asthma who had a Ratio of Controller Medications to Total Asthma Medications of 0.50 or Greater: Ages 19 to 50</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(51 MCOs). Rates were audited or validated.</t>
        </is>
      </c>
      <c r="I5" s="4" t="n">
        <v>0.492</v>
      </c>
      <c r="J5" s="4" t="n">
        <v>0.578</v>
      </c>
      <c r="K5" s="4" t="n">
        <v>0.86</v>
      </c>
      <c r="L5" s="4" t="n">
        <v>0.295</v>
      </c>
      <c r="M5" s="4" t="n">
        <v>0.538</v>
      </c>
      <c r="N5" s="4" t="n">
        <v>0.631</v>
      </c>
    </row>
    <row r="6">
      <c r="A6" t="inlineStr">
        <is>
          <t>Ages 19 to 50</t>
        </is>
      </c>
      <c r="B6" t="n">
        <v>2023</v>
      </c>
      <c r="C6" t="inlineStr">
        <is>
          <t>Medicaid</t>
        </is>
      </c>
      <c r="D6" t="inlineStr">
        <is>
          <t>Administrative</t>
        </is>
      </c>
      <c r="E6" t="inlineStr">
        <is>
          <t>Percentage with Persistent Asthma who had a Ratio of Controller Medications to Total Asthma Medications of 0.50 or Greater: Ages 19 to 50</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(44 MCOs). Rates were audited or validated.</t>
        </is>
      </c>
      <c r="I6" s="4" t="n">
        <v>0.517</v>
      </c>
      <c r="J6" s="4" t="n">
        <v>0.583</v>
      </c>
      <c r="K6" s="4" t="n">
        <v>0.864</v>
      </c>
      <c r="L6" s="4" t="n">
        <v>0.319</v>
      </c>
      <c r="M6" s="4" t="n">
        <v>0.552</v>
      </c>
      <c r="N6" s="4" t="n">
        <v>0.639</v>
      </c>
    </row>
    <row r="7">
      <c r="A7" t="inlineStr">
        <is>
          <t>Ages 19 to 50</t>
        </is>
      </c>
      <c r="B7" t="n">
        <v>2024</v>
      </c>
      <c r="C7" t="inlineStr">
        <is>
          <t>Medicaid (Title XIX)</t>
        </is>
      </c>
      <c r="D7" t="inlineStr">
        <is>
          <t>Administrative</t>
        </is>
      </c>
      <c r="E7" t="inlineStr">
        <is>
          <t>Percentage with Persistent Asthma who had a Ratio of Controller Medications to Total Asthma Medications of 0.50 or Greater: Ages 19 to 50</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(49 MCOs). State reported that rates exclude the following populations: "Excludes the dual-eligible population - data not available." Rates were audited or validated.</t>
        </is>
      </c>
      <c r="I7" s="4" t="n">
        <v>0.623</v>
      </c>
      <c r="J7" s="4" t="n">
        <v>0.613</v>
      </c>
      <c r="K7" s="4" t="n">
        <v>0.869</v>
      </c>
      <c r="L7" s="4" t="n">
        <v>0.376</v>
      </c>
      <c r="M7" s="4" t="n">
        <v>0.526</v>
      </c>
      <c r="N7" s="4" t="n">
        <v>0.679</v>
      </c>
    </row>
    <row r="8">
      <c r="A8" t="inlineStr">
        <is>
          <t>Ages 51 to 64</t>
        </is>
      </c>
      <c r="B8" t="n">
        <v>2021</v>
      </c>
      <c r="C8" t="inlineStr">
        <is>
          <t>Medicaid</t>
        </is>
      </c>
      <c r="D8" t="inlineStr">
        <is>
          <t>Administrative</t>
        </is>
      </c>
      <c r="E8" t="inlineStr">
        <is>
          <t>Percentage with Persistent Asthma who had a Ratio of Controller Medications to Total Asthma Medications of 0.50 or Greater: Ages 51 to 64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(57 MCOs). Rates were audited or validated.</t>
        </is>
      </c>
      <c r="I8" s="4" t="n">
        <v>0.492</v>
      </c>
      <c r="J8" s="4" t="n">
        <v>0.569</v>
      </c>
      <c r="K8" s="4" t="n">
        <v>0.862</v>
      </c>
      <c r="L8" s="4" t="n">
        <v>0.34</v>
      </c>
      <c r="M8" s="4" t="n">
        <v>0.528</v>
      </c>
      <c r="N8" s="4" t="n">
        <v>0.607</v>
      </c>
    </row>
    <row r="9">
      <c r="A9" t="inlineStr">
        <is>
          <t>Ages 51 to 64</t>
        </is>
      </c>
      <c r="B9" t="n">
        <v>2022</v>
      </c>
      <c r="C9" t="inlineStr">
        <is>
          <t>Medicaid</t>
        </is>
      </c>
      <c r="D9" t="inlineStr">
        <is>
          <t>Administrative</t>
        </is>
      </c>
      <c r="E9" t="inlineStr">
        <is>
          <t>Percentage with Persistent Asthma who had a Ratio of Controller Medications to Total Asthma Medications of 0.50 or Greater: Ages 51 to 64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(51 MCOs). Rates were audited or validated.</t>
        </is>
      </c>
      <c r="I9" s="4" t="n">
        <v>0.503</v>
      </c>
      <c r="J9" s="4" t="n">
        <v>0.58</v>
      </c>
      <c r="K9" s="4" t="n">
        <v>0.892</v>
      </c>
      <c r="L9" s="4" t="n">
        <v>0.304</v>
      </c>
      <c r="M9" s="4" t="n">
        <v>0.534</v>
      </c>
      <c r="N9" s="4" t="n">
        <v>0.629</v>
      </c>
    </row>
    <row r="10">
      <c r="A10" t="inlineStr">
        <is>
          <t>Ages 51 to 64</t>
        </is>
      </c>
      <c r="B10" t="n">
        <v>2023</v>
      </c>
      <c r="C10" t="inlineStr">
        <is>
          <t>Medicaid</t>
        </is>
      </c>
      <c r="D10" t="inlineStr">
        <is>
          <t>Administrative</t>
        </is>
      </c>
      <c r="E10" t="inlineStr">
        <is>
          <t>Percentage with Persistent Asthma who had a Ratio of Controller Medications to Total Asthma Medications of 0.50 or Greater: Ages 51 to 64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(44 MCOs). Rates were audited or validated.</t>
        </is>
      </c>
      <c r="I10" s="4" t="n">
        <v>0.549</v>
      </c>
      <c r="J10" s="4" t="n">
        <v>0.601</v>
      </c>
      <c r="K10" s="4" t="n">
        <v>0.902</v>
      </c>
      <c r="L10" s="4" t="n">
        <v>0.413</v>
      </c>
      <c r="M10" s="4" t="n">
        <v>0.5669999999999999</v>
      </c>
      <c r="N10" s="4" t="n">
        <v>0.675</v>
      </c>
    </row>
    <row r="11">
      <c r="A11" t="inlineStr">
        <is>
          <t>Ages 51 to 64</t>
        </is>
      </c>
      <c r="B11" t="n">
        <v>2024</v>
      </c>
      <c r="C11" t="inlineStr">
        <is>
          <t>Medicaid (Title XIX)</t>
        </is>
      </c>
      <c r="D11" t="inlineStr">
        <is>
          <t>Administrative</t>
        </is>
      </c>
      <c r="E11" t="inlineStr">
        <is>
          <t>Percentage with Persistent Asthma who had a Ratio of Controller Medications to Total Asthma Medications of 0.50 or Greater: Ages 51 to 64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(49 MCOs). State reported that rates exclude the following populations: "Excludes the dual-eligible population - data not available." Rates were audited or validated.</t>
        </is>
      </c>
      <c r="I11" s="4" t="n">
        <v>0.656</v>
      </c>
      <c r="J11" s="4" t="n">
        <v>0.642</v>
      </c>
      <c r="K11" s="4" t="n">
        <v>0.922</v>
      </c>
      <c r="L11" s="4" t="n">
        <v>0.346</v>
      </c>
      <c r="M11" s="4" t="n">
        <v>0.5620000000000001</v>
      </c>
      <c r="N11" s="4" t="n">
        <v>0.717</v>
      </c>
    </row>
    <row r="12">
      <c r="A12" t="inlineStr">
        <is>
          <t>Total (Ages 19 to 64)</t>
        </is>
      </c>
      <c r="B12" t="n">
        <v>2021</v>
      </c>
      <c r="C12" t="inlineStr">
        <is>
          <t>Medicaid</t>
        </is>
      </c>
      <c r="D12" t="inlineStr">
        <is>
          <t>Administrative</t>
        </is>
      </c>
      <c r="E12" t="inlineStr">
        <is>
          <t>Percentage with Persistent Asthma who had a Ratio of Controller Medications to Total Asthma Medications of 0.50 or Greater: Ages 19 to 64</t>
        </is>
      </c>
      <c r="F12" t="inlineStr">
        <is>
          <t>Higher values are better</t>
        </is>
      </c>
      <c r="G12" t="inlineStr">
        <is>
          <t>Mathematica analysis of the Quality Measure Reporting (QMR) system reports for the FFY 2021 reporting cycle as of June 1, 2023.</t>
        </is>
      </c>
      <c r="H12" t="inlineStr">
        <is>
          <t>State-specific comments: Rates include FFS and managed care populations (57 MCOs). Rates were audited or validated.</t>
        </is>
      </c>
      <c r="I12" s="4" t="n">
        <v>0.488</v>
      </c>
      <c r="J12" s="4" t="n">
        <v>0.5610000000000001</v>
      </c>
      <c r="K12" s="4" t="n">
        <v>0.819</v>
      </c>
      <c r="L12" s="4" t="n">
        <v>0.408</v>
      </c>
      <c r="M12" s="4" t="n">
        <v>0.524</v>
      </c>
      <c r="N12" s="4" t="n">
        <v>0.592</v>
      </c>
    </row>
    <row r="13">
      <c r="A13" t="inlineStr">
        <is>
          <t>Total (Ages 19 to 64)</t>
        </is>
      </c>
      <c r="B13" t="n">
        <v>2022</v>
      </c>
      <c r="C13" t="inlineStr">
        <is>
          <t>Medicaid</t>
        </is>
      </c>
      <c r="D13" t="inlineStr">
        <is>
          <t>Administrative</t>
        </is>
      </c>
      <c r="E13" t="inlineStr">
        <is>
          <t>Percentage with Persistent Asthma who had a Ratio of Controller Medications to Total Asthma Medications of 0.50 or Greater: Ages 19 to 64</t>
        </is>
      </c>
      <c r="F13" t="inlineStr">
        <is>
          <t>Higher values are better</t>
        </is>
      </c>
      <c r="G13" t="inlineStr">
        <is>
          <t>Mathematica analysis of the Quality Measure Reporting (QMR) system reports for the FFY 2022 reporting cycle as of June 1, 2023.</t>
        </is>
      </c>
      <c r="H13" t="inlineStr">
        <is>
          <t>State-specific comments: Rates include FFS and managed care populations (51 MCOs). Rates were audited or validated.</t>
        </is>
      </c>
      <c r="I13" s="4" t="n">
        <v>0.496</v>
      </c>
      <c r="J13" s="4" t="n">
        <v>0.579</v>
      </c>
      <c r="K13" s="4" t="n">
        <v>0.868</v>
      </c>
      <c r="L13" s="4" t="n">
        <v>0.335</v>
      </c>
      <c r="M13" s="4" t="n">
        <v>0.531</v>
      </c>
      <c r="N13" s="4" t="n">
        <v>0.624</v>
      </c>
    </row>
    <row r="14">
      <c r="A14" t="inlineStr">
        <is>
          <t>Total (Ages 19 to 64)</t>
        </is>
      </c>
      <c r="B14" t="n">
        <v>2023</v>
      </c>
      <c r="C14" t="inlineStr">
        <is>
          <t>Medicaid</t>
        </is>
      </c>
      <c r="D14" t="inlineStr">
        <is>
          <t>Administrative</t>
        </is>
      </c>
      <c r="E14" t="inlineStr">
        <is>
          <t>Percentage with Persistent Asthma who had a Ratio of Controller Medications to Total Asthma Medications of 0.50 or Greater: Ages 19 to 64</t>
        </is>
      </c>
      <c r="F14" t="inlineStr">
        <is>
          <t>Higher values are better</t>
        </is>
      </c>
      <c r="G14" t="inlineStr">
        <is>
          <t>Mathematica analysis of the Quality Measure Reporting (QMR) system reports for the 2023 Core Set as of May 16, 2024.</t>
        </is>
      </c>
      <c r="H14" t="inlineStr">
        <is>
          <t>State-specific comments: Rates include FFS and managed care populations (44 MCOs). Rates were audited or validated.</t>
        </is>
      </c>
      <c r="I14" s="4" t="n">
        <v>0.528</v>
      </c>
      <c r="J14" s="4" t="n">
        <v>0.585</v>
      </c>
      <c r="K14" s="4" t="n">
        <v>0.863</v>
      </c>
      <c r="L14" s="4" t="n">
        <v>0.358</v>
      </c>
      <c r="M14" s="4" t="n">
        <v>0.5610000000000001</v>
      </c>
      <c r="N14" s="4" t="n">
        <v>0.653</v>
      </c>
    </row>
    <row r="15">
      <c r="A15" t="inlineStr">
        <is>
          <t>Total (Ages 19 to 64)</t>
        </is>
      </c>
      <c r="B15" t="n">
        <v>2024</v>
      </c>
      <c r="C15" t="inlineStr">
        <is>
          <t>Medicaid (Title XIX)</t>
        </is>
      </c>
      <c r="D15" t="inlineStr">
        <is>
          <t>Administrative</t>
        </is>
      </c>
      <c r="E15" t="inlineStr">
        <is>
          <t>Percentage with Persistent Asthma who had a Ratio of Controller Medications to Total Asthma Medications of 0.50 or Greater: Ages 19 to 64</t>
        </is>
      </c>
      <c r="F15" t="inlineStr">
        <is>
          <t>Higher values are better</t>
        </is>
      </c>
      <c r="G15" t="inlineStr">
        <is>
          <t>Mathematica analysis of the Quality Measure Reporting (QMR) system reports for the 2024 Core Set as of April 28, 2025.</t>
        </is>
      </c>
      <c r="H15" t="inlineStr">
        <is>
          <t>State-specific comments: Rates include FFS and managed care populations (49 MCOs). State reported that rates exclude the following populations: "Excludes the dual-eligible population - data not available." Rates were audited or validated.</t>
        </is>
      </c>
      <c r="I15" s="4" t="n">
        <v>0.634</v>
      </c>
      <c r="J15" s="4" t="n">
        <v>0.621</v>
      </c>
      <c r="K15" s="4" t="n">
        <v>0.883</v>
      </c>
      <c r="L15" s="4" t="n">
        <v>0.407</v>
      </c>
      <c r="M15" s="4" t="n">
        <v>0.556</v>
      </c>
      <c r="N15" s="4" t="n">
        <v>0.6879999999999999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Avoidance of Antibiotic Treatment for Acute Bronchitis/Bronchiolitis: Ages 3 Months to 17 Years (AAB-CH)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2023</v>
      </c>
      <c r="B4" t="inlineStr">
        <is>
          <t>Medicaid &amp; CHIP</t>
        </is>
      </c>
      <c r="C4" t="inlineStr">
        <is>
          <t>Administrative</t>
        </is>
      </c>
      <c r="D4" t="inlineStr">
        <is>
          <t>Percentage of Episodes for Beneficiaries with a Diagnosis of Acute Bronchitis/Bronchiolitis that did not Result in an Antibiotic Dispensing Event: Ages 3 Months to 17 Years</t>
        </is>
      </c>
      <c r="E4" t="inlineStr">
        <is>
          <t>Higher values are better</t>
        </is>
      </c>
      <c r="F4" t="inlineStr">
        <is>
          <t>Mathematica analysis of the Quality Measure Reporting (QMR) system reports for the 2023 Core Set as of May 16, 2024.</t>
        </is>
      </c>
      <c r="G4" t="inlineStr">
        <is>
          <t>State-specific comments: Rate includes managed care population (15 MCOs). The state described the "other" data sources used to calculate the measure as the following: "Health Plan Billing Data." Rate was audited or validated.</t>
        </is>
      </c>
      <c r="H4" s="4" t="n">
        <v>0.623</v>
      </c>
      <c r="I4" s="4" t="n">
        <v>0.714</v>
      </c>
      <c r="J4" s="4" t="n">
        <v>0.952</v>
      </c>
      <c r="K4" s="4" t="n">
        <v>0.276</v>
      </c>
      <c r="L4" s="4" t="n">
        <v>0.64</v>
      </c>
      <c r="M4" s="4" t="n">
        <v>0.819</v>
      </c>
    </row>
    <row r="5">
      <c r="A5" t="n">
        <v>2024</v>
      </c>
      <c r="B5" t="inlineStr">
        <is>
          <t>Medicaid (Title XIX), Title XXI-funded Medicaid Expansion CHIP, Separate CHIP (Title XXI)</t>
        </is>
      </c>
      <c r="C5" t="inlineStr">
        <is>
          <t>Administrative</t>
        </is>
      </c>
      <c r="D5" t="inlineStr">
        <is>
          <t>Percentage of Episodes for Beneficiaries with a Diagnosis of Acute Bronchitis/Bronchiolitis that did not Result in an Antibiotic Dispensing Event: Ages 3 Months to 17 Years</t>
        </is>
      </c>
      <c r="E5" t="inlineStr">
        <is>
          <t>Higher values are better</t>
        </is>
      </c>
      <c r="F5" t="inlineStr">
        <is>
          <t>Mathematica analysis of the Quality Measure Reporting (QMR) system reports for the 2024 Core Set as of April 28, 2025.</t>
        </is>
      </c>
      <c r="G5" t="inlineStr">
        <is>
          <t>State-specific comments: Rate combines the Medicaid and separate CHIP data reported by the state in the QMR system. See Medicaid and separate CHIP state-specific comments for information about the data reported for each population.</t>
        </is>
      </c>
      <c r="H5" s="4" t="n">
        <v>0.651</v>
      </c>
      <c r="I5" s="4" t="n">
        <v>0.721</v>
      </c>
      <c r="J5" s="4" t="n">
        <v>0.994</v>
      </c>
      <c r="K5" s="4" t="n">
        <v>0.1</v>
      </c>
      <c r="L5" s="4" t="n">
        <v>0.654</v>
      </c>
      <c r="M5" s="4" t="n">
        <v>0.831</v>
      </c>
    </row>
    <row r="6">
      <c r="A6" t="n">
        <v>2024</v>
      </c>
      <c r="B6" t="inlineStr">
        <is>
          <t>Medicaid (Title XIX), Title XXI-funded Medicaid Expansion CHIP</t>
        </is>
      </c>
      <c r="C6" t="inlineStr">
        <is>
          <t>Administrative</t>
        </is>
      </c>
      <c r="D6" t="inlineStr">
        <is>
          <t>Percentage of Episodes for Beneficiaries with a Diagnosis of Acute Bronchitis/Bronchiolitis that did not Result in an Antibiotic Dispensing Event: Ages 3 Months to 17 Years</t>
        </is>
      </c>
      <c r="E6" t="inlineStr">
        <is>
          <t>Higher values are better</t>
        </is>
      </c>
      <c r="F6" t="inlineStr">
        <is>
          <t>Mathematica analysis of the Quality Measure Reporting (QMR) system reports for the 2024 Core Set as of April 28, 2025.</t>
        </is>
      </c>
      <c r="G6" t="inlineStr">
        <is>
          <t>State-specific comments: Medicaid rate includes FFS and managed care populations (15 MCOs). The state described the "other" data sources used to calculate the measure as the following: "Health Plan Billing Data." Rate was audited or validated.</t>
        </is>
      </c>
      <c r="H6" s="4" t="n">
        <v>0.661</v>
      </c>
      <c r="I6" s="4" t="n">
        <v>0.721</v>
      </c>
      <c r="J6" s="4" t="n">
        <v>0.994</v>
      </c>
      <c r="K6" s="4" t="n">
        <v>0.1</v>
      </c>
      <c r="L6" s="4" t="n">
        <v>0.654</v>
      </c>
      <c r="M6" s="4" t="n">
        <v>0.831</v>
      </c>
    </row>
    <row r="7">
      <c r="A7" t="n">
        <v>2024</v>
      </c>
      <c r="B7" t="inlineStr">
        <is>
          <t>Separate CHIP (Title XXI)</t>
        </is>
      </c>
      <c r="C7" t="inlineStr">
        <is>
          <t>Administrative</t>
        </is>
      </c>
      <c r="D7" t="inlineStr">
        <is>
          <t>Percentage of Episodes for Beneficiaries with a Diagnosis of Acute Bronchitis/Bronchiolitis that did not Result in an Antibiotic Dispensing Event: Ages 3 Months to 17 Years</t>
        </is>
      </c>
      <c r="E7" t="inlineStr">
        <is>
          <t>Higher values are better</t>
        </is>
      </c>
      <c r="F7" t="inlineStr">
        <is>
          <t>Mathematica analysis of the Quality Measure Reporting (QMR) system reports for the 2024 Core Set as of April 28, 2025.</t>
        </is>
      </c>
      <c r="G7" t="inlineStr">
        <is>
          <t>State-specific comments: Separate CHIP rate includes managed care population (12 MCOs). The state described the "other" data sources used to calculate the measure as the following: "Health Plan Billing Data." Rate was audited or validated.</t>
        </is>
      </c>
      <c r="H7" s="4" t="n">
        <v>0.599</v>
      </c>
      <c r="I7" s="4" t="n">
        <v>0.721</v>
      </c>
      <c r="J7" s="4" t="n">
        <v>0.994</v>
      </c>
      <c r="K7" s="4" t="n">
        <v>0.1</v>
      </c>
      <c r="L7" s="4" t="n">
        <v>0.654</v>
      </c>
      <c r="M7" s="4" t="n">
        <v>0.831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Avoidance of Antibiotic Treatment for Acute Bronchitis/Bronchiolitis: Age 18 and Older (AAB-AD)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is>
          <t>Medicaid</t>
        </is>
      </c>
      <c r="C4" t="inlineStr">
        <is>
          <t>Administrative</t>
        </is>
      </c>
      <c r="D4" t="inlineStr">
        <is>
          <t>Percentage of Episodes for Beneficiaries with a Diagnosis of Acute Bronchitis/Bronchiolitis that did not Result in an Antibiotic Dispensing Event: Ages 18 to 64</t>
        </is>
      </c>
      <c r="E4" t="inlineStr">
        <is>
          <t>Higher values are better</t>
        </is>
      </c>
      <c r="F4" t="inlineStr">
        <is>
          <t>Mathematica analysis of the Quality Measure Reporting (QMR) system reports for the FFY 2022 reporting cycle as of June 1, 2023.</t>
        </is>
      </c>
      <c r="G4" t="inlineStr">
        <is>
          <t>State-specific comments: Rate includes managed care population (26 MCOs). Rate was audited or validated. State reported using HEDIS age groups.</t>
        </is>
      </c>
      <c r="H4" s="4" t="n">
        <v>0.453</v>
      </c>
      <c r="I4" s="4" t="n">
        <v>0.433</v>
      </c>
      <c r="J4" s="4" t="n">
        <v>0.856</v>
      </c>
      <c r="K4" s="4" t="n">
        <v>0.316</v>
      </c>
      <c r="L4" s="4" t="n">
        <v>0.401</v>
      </c>
      <c r="M4" s="4" t="n">
        <v>0.544</v>
      </c>
    </row>
    <row r="5">
      <c r="A5" t="n">
        <v>2023</v>
      </c>
      <c r="B5" t="inlineStr">
        <is>
          <t>Medicaid</t>
        </is>
      </c>
      <c r="C5" t="inlineStr">
        <is>
          <t>Administrative</t>
        </is>
      </c>
      <c r="D5" t="inlineStr">
        <is>
          <t>Percentage of Episodes for Beneficiaries with a Diagnosis of Acute Bronchitis/Bronchiolitis that did not Result in an Antibiotic Dispensing Event: Ages 18 to 64</t>
        </is>
      </c>
      <c r="E5" t="inlineStr">
        <is>
          <t>Higher values are better</t>
        </is>
      </c>
      <c r="F5" t="inlineStr">
        <is>
          <t>Mathematica analysis of the Quality Measure Reporting (QMR) system reports for the 2023 Core Set as of May 16, 2024.</t>
        </is>
      </c>
      <c r="G5" t="inlineStr">
        <is>
          <t>State-specific comments: Rate includes managed care population (24 MCOs). The state described the "other" data sources used to calculate the measure as the following: "Managed Care health plan billing data." Rate was audited or validated.</t>
        </is>
      </c>
      <c r="H5" s="4" t="n">
        <v>0.436</v>
      </c>
      <c r="I5" s="4" t="n">
        <v>0.436</v>
      </c>
      <c r="J5" s="4" t="n">
        <v>0.857</v>
      </c>
      <c r="K5" s="4" t="n">
        <v>0.327</v>
      </c>
      <c r="L5" s="4" t="n">
        <v>0.403</v>
      </c>
      <c r="M5" s="4" t="n">
        <v>0.539</v>
      </c>
    </row>
    <row r="6">
      <c r="A6" t="n">
        <v>2024</v>
      </c>
      <c r="B6" t="inlineStr">
        <is>
          <t>Medicaid (Title XIX)</t>
        </is>
      </c>
      <c r="C6" t="inlineStr">
        <is>
          <t>Administrative</t>
        </is>
      </c>
      <c r="D6" t="inlineStr">
        <is>
          <t>Percentage of Episodes for Beneficiaries with a Diagnosis of Acute Bronchitis/Bronchiolitis that did not Result in an Antibiotic Dispensing Event: Ages 18 to 64</t>
        </is>
      </c>
      <c r="E6" t="inlineStr">
        <is>
          <t>Higher values are better</t>
        </is>
      </c>
      <c r="F6" t="inlineStr">
        <is>
          <t>Mathematica analysis of the Quality Measure Reporting (QMR) system reports for the 2024 Core Set as of April 28, 2025.</t>
        </is>
      </c>
      <c r="G6" t="inlineStr">
        <is>
          <t>State-specific comments: Rate includes managed care population (24 MCOs). State reported that the rate excludes the following populations: "Excludes the FFS and dual population because the data are not available." The state described the "other" data sources used to calculate the measure as the following: "Health Billing Data." Rate was audited or validated.</t>
        </is>
      </c>
      <c r="H6" s="4" t="n">
        <v>0.452</v>
      </c>
      <c r="I6" s="4" t="n">
        <v>0.442</v>
      </c>
      <c r="J6" s="4" t="n">
        <v>0.989</v>
      </c>
      <c r="K6" s="4" t="n">
        <v>0.316</v>
      </c>
      <c r="L6" s="4" t="n">
        <v>0.4</v>
      </c>
      <c r="M6" s="4" t="n">
        <v>0.555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Breast Cancer Screening: Ages 50 to 74 (BCS-AD)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Women who had a Mammogram to Screen for Breast Cancer: Ages 50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(64 MCOs). The state described the "other" data sources used to calculate the measure as the following: "Medicaid Data Warehouse." Rate was audited or validated. NYS used HEDIS age groups. The numerator and denominator include age 65+ population.</t>
        </is>
      </c>
      <c r="H4" s="4" t="n">
        <v>0.607</v>
      </c>
      <c r="I4" s="4" t="n">
        <v>0.504</v>
      </c>
      <c r="J4" s="4" t="n">
        <v>0.667</v>
      </c>
      <c r="K4" s="4" t="n">
        <v>0.333</v>
      </c>
      <c r="L4" s="4" t="n">
        <v>0.455</v>
      </c>
      <c r="M4" s="4" t="n">
        <v>0.553</v>
      </c>
    </row>
    <row r="5">
      <c r="A5" t="n">
        <v>2022</v>
      </c>
      <c r="B5" t="inlineStr">
        <is>
          <t>Medicaid</t>
        </is>
      </c>
      <c r="C5" t="inlineStr">
        <is>
          <t>Administrative</t>
        </is>
      </c>
      <c r="D5" t="inlineStr">
        <is>
          <t>Percentage of Women who had a Mammogram to Screen for Breast Cancer: Ages 50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(59 MCOs). Rate was audited or validated. State reported using HEDIS age groups. Numerator and denominator include age 65+ population.</t>
        </is>
      </c>
      <c r="H5" s="4" t="n">
        <v>0.576</v>
      </c>
      <c r="I5" s="4" t="n">
        <v>0.488</v>
      </c>
      <c r="J5" s="4" t="n">
        <v>0.634</v>
      </c>
      <c r="K5" s="4" t="n">
        <v>0.312</v>
      </c>
      <c r="L5" s="4" t="n">
        <v>0.436</v>
      </c>
      <c r="M5" s="4" t="n">
        <v>0.54</v>
      </c>
    </row>
    <row r="6">
      <c r="A6" t="n">
        <v>2023</v>
      </c>
      <c r="B6" t="inlineStr">
        <is>
          <t>Medicaid</t>
        </is>
      </c>
      <c r="C6" t="inlineStr">
        <is>
          <t>Administrative</t>
        </is>
      </c>
      <c r="D6" t="inlineStr">
        <is>
          <t>Percentage of Women who had a Mammogram to Screen for Breast Cancer: Ages 50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(60 MCOs). Rate was audited or validated.</t>
        </is>
      </c>
      <c r="H6" s="4" t="n">
        <v>0.582</v>
      </c>
      <c r="I6" s="4" t="n">
        <v>0.492</v>
      </c>
      <c r="J6" s="4" t="n">
        <v>0.647</v>
      </c>
      <c r="K6" s="4" t="n">
        <v>0.235</v>
      </c>
      <c r="L6" s="4" t="n">
        <v>0.437</v>
      </c>
      <c r="M6" s="4" t="n">
        <v>0.553</v>
      </c>
    </row>
    <row r="7">
      <c r="A7" t="n">
        <v>2024</v>
      </c>
      <c r="B7" t="inlineStr">
        <is>
          <t>Medicaid (Title XIX)</t>
        </is>
      </c>
      <c r="C7" t="inlineStr">
        <is>
          <t>Administrative</t>
        </is>
      </c>
      <c r="D7" t="inlineStr">
        <is>
          <t>Percentage of Women who had a Mammogram to Screen for Breast Cancer: Ages 50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(58 MCOs). State reported that the rate excludes the following populations: "Excludes the dual-eligible population - data not available." Rate was audited or validated.</t>
        </is>
      </c>
      <c r="H7" s="4" t="n">
        <v>0.576</v>
      </c>
      <c r="I7" s="4" t="n">
        <v>0.503</v>
      </c>
      <c r="J7" s="4" t="n">
        <v>0.644</v>
      </c>
      <c r="K7" s="4" t="n">
        <v>0.178</v>
      </c>
      <c r="L7" s="4" t="n">
        <v>0.446</v>
      </c>
      <c r="M7" s="4" t="n">
        <v>0.552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56" customWidth="1" min="1" max="1"/>
    <col width="40" customWidth="1" min="2" max="2"/>
    <col width="13" customWidth="1" min="3" max="3"/>
    <col width="12" customWidth="1" min="4" max="4"/>
    <col width="26" customWidth="1" min="5" max="5"/>
    <col width="60" customWidth="1" min="6" max="6"/>
    <col width="26" customWidth="1" min="7" max="7"/>
    <col width="60" customWidth="1" min="8" max="8"/>
    <col width="60" customWidth="1" min="9" max="9"/>
    <col width="23"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CAHPS Health Plan Survey 5.1H - Child Version Including Medicaid and Children with Chronic Conditions Supplemental Items: Ages 0 to 17 (CPC-CH)</t>
        </is>
      </c>
    </row>
    <row r="2"/>
    <row r="3">
      <c r="A3" s="1" t="inlineStr">
        <is>
          <t>Rate</t>
        </is>
      </c>
      <c r="B3" s="1" t="inlineStr">
        <is>
          <t>Survey Population</t>
        </is>
      </c>
      <c r="C3" s="1" t="inlineStr">
        <is>
          <t>Data Period</t>
        </is>
      </c>
      <c r="D3" s="1" t="inlineStr">
        <is>
          <t>Population</t>
        </is>
      </c>
      <c r="E3" s="1" t="inlineStr">
        <is>
          <t>Methodology</t>
        </is>
      </c>
      <c r="F3" s="1" t="inlineStr">
        <is>
          <t>Value Type</t>
        </is>
      </c>
      <c r="G3" s="1" t="inlineStr">
        <is>
          <t>Value Directionality</t>
        </is>
      </c>
      <c r="H3" s="1" t="inlineStr">
        <is>
          <t>Analysis Source</t>
        </is>
      </c>
      <c r="I3" s="1" t="inlineStr">
        <is>
          <t>Notes</t>
        </is>
      </c>
      <c r="J3" s="1" t="inlineStr">
        <is>
          <t>Value</t>
        </is>
      </c>
      <c r="K3" s="1" t="inlineStr">
        <is>
          <t>Median</t>
        </is>
      </c>
      <c r="L3" s="1" t="inlineStr">
        <is>
          <t>Maximum</t>
        </is>
      </c>
      <c r="M3" s="1" t="inlineStr">
        <is>
          <t>Minimum</t>
        </is>
      </c>
      <c r="N3" s="1" t="inlineStr">
        <is>
          <t>First quartile</t>
        </is>
      </c>
      <c r="O3" s="1" t="inlineStr">
        <is>
          <t>Third quartile</t>
        </is>
      </c>
    </row>
    <row r="4">
      <c r="A4" t="inlineStr">
        <is>
          <t>Getting Care Quickly Composite</t>
        </is>
      </c>
      <c r="B4" t="inlineStr">
        <is>
          <t>Children with Chronic Conditions (CCC)</t>
        </is>
      </c>
      <c r="C4" t="n">
        <v>2024</v>
      </c>
      <c r="D4" t="inlineStr"/>
      <c r="E4" t="inlineStr"/>
      <c r="F4" t="inlineStr">
        <is>
          <t>Percentage whose Caregiver Selected They "Always" Got Care Quickly, on a Four-Point Scale Ranging from "Never" to "Always":  General Child (GC) Population Ages 0 to 17</t>
        </is>
      </c>
      <c r="G4" t="inlineStr">
        <is>
          <t>Higher values are better</t>
        </is>
      </c>
      <c r="H4" t="inlineStr">
        <is>
          <t>Agency for Healthcare Research and Quality (AHRQ) and CMS analysis of the AHRQ CAHPS Database for the July 2023 to June 2024 data collection period as of January 28, 2025.</t>
        </is>
      </c>
      <c r="I4" t="inlineStr"/>
      <c r="J4" t="inlineStr">
        <is>
          <t>Not reported by state</t>
        </is>
      </c>
      <c r="K4" s="4" t="n">
        <v>0.704</v>
      </c>
      <c r="L4" s="4" t="n">
        <v>0.795</v>
      </c>
      <c r="M4" s="4" t="n">
        <v>0.538</v>
      </c>
      <c r="N4" s="4" t="n">
        <v>0.663</v>
      </c>
      <c r="O4" s="4" t="n">
        <v>0.755</v>
      </c>
    </row>
    <row r="5">
      <c r="A5" t="inlineStr">
        <is>
          <t>Getting Care Quickly Composite</t>
        </is>
      </c>
      <c r="B5" t="inlineStr">
        <is>
          <t>General Child (GC)</t>
        </is>
      </c>
      <c r="C5" t="n">
        <v>2024</v>
      </c>
      <c r="D5" t="inlineStr"/>
      <c r="E5" t="inlineStr"/>
      <c r="F5" t="inlineStr">
        <is>
          <t>Percentage whose Caregiver Selected They "Always" Got Care Quickly, on a Four-Point Scale Ranging from "Never" to "Always":  General Child (GC) Population Ages 0 to 17</t>
        </is>
      </c>
      <c r="G5" t="inlineStr">
        <is>
          <t>Higher values are better</t>
        </is>
      </c>
      <c r="H5" t="inlineStr">
        <is>
          <t>Agency for Healthcare Research and Quality (AHRQ) and CMS analysis of the AHRQ CAHPS Database for the July 2023 to June 2024 data collection period as of January 28, 2025.</t>
        </is>
      </c>
      <c r="I5" t="inlineStr"/>
      <c r="J5" t="inlineStr">
        <is>
          <t>Not reported by state</t>
        </is>
      </c>
      <c r="K5" s="4" t="n">
        <v>0.709</v>
      </c>
      <c r="L5" s="4" t="n">
        <v>0.79</v>
      </c>
      <c r="M5" s="4" t="n">
        <v>0.528</v>
      </c>
      <c r="N5" s="4" t="n">
        <v>0.65</v>
      </c>
      <c r="O5" s="4" t="n">
        <v>0.755</v>
      </c>
    </row>
    <row r="6">
      <c r="A6" t="inlineStr">
        <is>
          <t>Getting Care Quickly Composite</t>
        </is>
      </c>
      <c r="B6" t="inlineStr"/>
      <c r="C6" t="n">
        <v>2023</v>
      </c>
      <c r="D6" t="inlineStr">
        <is>
          <t>Medicaid</t>
        </is>
      </c>
      <c r="E6" t="inlineStr">
        <is>
          <t>CAHPS 5.1 and CAHPS 5.1H</t>
        </is>
      </c>
      <c r="F6" t="inlineStr">
        <is>
          <t>Percentage whose Caregiver Selected They "Always" Got Care Quickly, on a Four-Point Scale Ranging from "Never" to "Always":  General Child (GC) Population Ages 0 to 17</t>
        </is>
      </c>
      <c r="G6" t="inlineStr">
        <is>
          <t>Higher values are better</t>
        </is>
      </c>
      <c r="H6" t="inlineStr">
        <is>
          <t>Agency for Healthcare Research and Quality (AHRQ) and CMS analysis of the AHRQ CAHPS Database for the July 2022 to June 2023 data collection period as of January 24, 2024.</t>
        </is>
      </c>
      <c r="I6" t="inlineStr">
        <is>
          <t>State-specific comments: Medicaid rates were calculated using data from the AHRQ CAHPS Database. Rates include managed care population (12 MCOs). One plan reported using CAHPS 5.1 and 11 plans reporting using CAHPS 5.1H.</t>
        </is>
      </c>
      <c r="J6" s="4" t="n">
        <v>0.611</v>
      </c>
      <c r="K6" s="4" t="n">
        <v>0.709</v>
      </c>
      <c r="L6" s="4" t="n">
        <v>0.8179999999999999</v>
      </c>
      <c r="M6" s="4" t="n">
        <v>0.554</v>
      </c>
      <c r="N6" s="4" t="n">
        <v>0.641</v>
      </c>
      <c r="O6" s="4" t="n">
        <v>0.744</v>
      </c>
    </row>
    <row r="7">
      <c r="A7" t="inlineStr">
        <is>
          <t>Getting Needed Care Composite</t>
        </is>
      </c>
      <c r="B7" t="inlineStr">
        <is>
          <t>Children with Chronic Conditions (CCC)</t>
        </is>
      </c>
      <c r="C7" t="n">
        <v>2024</v>
      </c>
      <c r="D7" t="inlineStr"/>
      <c r="E7" t="inlineStr"/>
      <c r="F7" t="inlineStr">
        <is>
          <t>Percentage whose Caregiver Selected They "Always" Got Needed Care, on a Four-Point Scale Ranging from "Never" to "Always": General Child (GC) Population Ages 0 to 17</t>
        </is>
      </c>
      <c r="G7" t="inlineStr">
        <is>
          <t>Higher values are better</t>
        </is>
      </c>
      <c r="H7" t="inlineStr">
        <is>
          <t>Agency for Healthcare Research and Quality (AHRQ) and CMS analysis of the AHRQ CAHPS Database for the July 2023 to June 2024 data collection period as of January 28, 2025.</t>
        </is>
      </c>
      <c r="I7" t="inlineStr"/>
      <c r="J7" t="inlineStr">
        <is>
          <t>Not reported by state</t>
        </is>
      </c>
      <c r="K7" s="4" t="n">
        <v>0.5590000000000001</v>
      </c>
      <c r="L7" s="4" t="n">
        <v>0.726</v>
      </c>
      <c r="M7" s="4" t="n">
        <v>0.402</v>
      </c>
      <c r="N7" s="4" t="n">
        <v>0.525</v>
      </c>
      <c r="O7" s="4" t="n">
        <v>0.623</v>
      </c>
    </row>
    <row r="8">
      <c r="A8" t="inlineStr">
        <is>
          <t>Getting Needed Care Composite</t>
        </is>
      </c>
      <c r="B8" t="inlineStr">
        <is>
          <t>General Child (GC)</t>
        </is>
      </c>
      <c r="C8" t="n">
        <v>2024</v>
      </c>
      <c r="D8" t="inlineStr"/>
      <c r="E8" t="inlineStr"/>
      <c r="F8" t="inlineStr">
        <is>
          <t>Percentage whose Caregiver Selected They "Always" Got Needed Care, on a Four-Point Scale Ranging from "Never" to "Always": General Child (GC) Population Ages 0 to 17</t>
        </is>
      </c>
      <c r="G8" t="inlineStr">
        <is>
          <t>Higher values are better</t>
        </is>
      </c>
      <c r="H8" t="inlineStr">
        <is>
          <t>Agency for Healthcare Research and Quality (AHRQ) and CMS analysis of the AHRQ CAHPS Database for the July 2023 to June 2024 data collection period as of January 28, 2025.</t>
        </is>
      </c>
      <c r="I8" t="inlineStr"/>
      <c r="J8" t="inlineStr">
        <is>
          <t>Not reported by state</t>
        </is>
      </c>
      <c r="K8" s="4" t="n">
        <v>0.599</v>
      </c>
      <c r="L8" s="4" t="n">
        <v>0.728</v>
      </c>
      <c r="M8" s="4" t="n">
        <v>0.461</v>
      </c>
      <c r="N8" s="4" t="n">
        <v>0.554</v>
      </c>
      <c r="O8" s="4" t="n">
        <v>0.639</v>
      </c>
    </row>
    <row r="9">
      <c r="A9" t="inlineStr">
        <is>
          <t>Getting Needed Care Composite</t>
        </is>
      </c>
      <c r="B9" t="inlineStr"/>
      <c r="C9" t="n">
        <v>2023</v>
      </c>
      <c r="D9" t="inlineStr">
        <is>
          <t>Medicaid</t>
        </is>
      </c>
      <c r="E9" t="inlineStr">
        <is>
          <t>CAHPS 5.1 and CAHPS 5.1H</t>
        </is>
      </c>
      <c r="F9" t="inlineStr">
        <is>
          <t>Percentage whose Caregiver Selected They "Always" Got Needed Care, on a Four-Point Scale Ranging from "Never" to "Always": General Child (GC) Population Ages 0 to 17</t>
        </is>
      </c>
      <c r="G9" t="inlineStr">
        <is>
          <t>Higher values are better</t>
        </is>
      </c>
      <c r="H9" t="inlineStr">
        <is>
          <t>Agency for Healthcare Research and Quality (AHRQ) and CMS analysis of the AHRQ CAHPS Database for the July 2022 to June 2023 data collection period as of January 24, 2024.</t>
        </is>
      </c>
      <c r="I9" t="inlineStr">
        <is>
          <t>State-specific comments: Medicaid rates were calculated using data from the AHRQ CAHPS Database. Rates include managed care population (12 MCOs). One plan reported using CAHPS 5.1 and 11 plans reporting using CAHPS 5.1H.</t>
        </is>
      </c>
      <c r="J9" s="4" t="n">
        <v>0.497</v>
      </c>
      <c r="K9" s="4" t="n">
        <v>0.605</v>
      </c>
      <c r="L9" s="4" t="n">
        <v>0.724</v>
      </c>
      <c r="M9" s="4" t="n">
        <v>0.441</v>
      </c>
      <c r="N9" s="4" t="n">
        <v>0.542</v>
      </c>
      <c r="O9" s="4" t="n">
        <v>0.647</v>
      </c>
    </row>
    <row r="10">
      <c r="A10" t="inlineStr">
        <is>
          <t>Health Plan Information and Customer Service Composite</t>
        </is>
      </c>
      <c r="B10" t="inlineStr">
        <is>
          <t>General Child (GC)</t>
        </is>
      </c>
      <c r="C10" t="n">
        <v>2024</v>
      </c>
      <c r="D10" t="inlineStr"/>
      <c r="E10" t="inlineStr"/>
      <c r="F10" t="inlineStr">
        <is>
          <t>Percentage whose Caregiver Selected Their Health Plan Customer Service "Always" Gave Helpful Information and Was Courteous and Respectful, on a Four-Point Scale Ranging from "Never" to "Always": General Child (GC) Population Ages 0 to 17</t>
        </is>
      </c>
      <c r="G10" t="inlineStr">
        <is>
          <t>Higher values are better</t>
        </is>
      </c>
      <c r="H10" t="inlineStr">
        <is>
          <t>Agency for Healthcare Research and Quality (AHRQ) and CMS analysis of the AHRQ CAHPS Database for the July 2023 to June 2024 data collection period as of January 28, 2025.</t>
        </is>
      </c>
      <c r="I10" t="inlineStr"/>
      <c r="J10" t="inlineStr">
        <is>
          <t>Not reported by state</t>
        </is>
      </c>
      <c r="K10" s="4" t="n">
        <v>0.671</v>
      </c>
      <c r="L10" s="4" t="n">
        <v>0.798</v>
      </c>
      <c r="M10" s="4" t="n">
        <v>0.569</v>
      </c>
      <c r="N10" s="4" t="n">
        <v>0.644</v>
      </c>
      <c r="O10" s="4" t="n">
        <v>0.71</v>
      </c>
    </row>
    <row r="11">
      <c r="A11" t="inlineStr">
        <is>
          <t>Health Plan Information and Customer Service Composite</t>
        </is>
      </c>
      <c r="B11" t="inlineStr"/>
      <c r="C11" t="n">
        <v>2023</v>
      </c>
      <c r="D11" t="inlineStr">
        <is>
          <t>Medicaid</t>
        </is>
      </c>
      <c r="E11" t="inlineStr">
        <is>
          <t>CAHPS 5.1 and CAHPS 5.1H</t>
        </is>
      </c>
      <c r="F11" t="inlineStr">
        <is>
          <t>Percentage whose Caregiver Selected Their Health Plan Customer Service "Always" Gave Helpful Information and Was Courteous and Respectful, on a Four-Point Scale Ranging from "Never" to "Always": General Child (GC) Population Ages 0 to 17</t>
        </is>
      </c>
      <c r="G11" t="inlineStr">
        <is>
          <t>Higher values are better</t>
        </is>
      </c>
      <c r="H11" t="inlineStr">
        <is>
          <t>Agency for Healthcare Research and Quality (AHRQ) and CMS analysis of the AHRQ CAHPS Database for the July 2022 to June 2023 data collection period as of January 24, 2024.</t>
        </is>
      </c>
      <c r="I11" t="inlineStr">
        <is>
          <t>State-specific comments: Medicaid rates were calculated using data from the AHRQ CAHPS Database. Rates include managed care population (12 MCOs). One plan reported using CAHPS 5.1 and 11 plans reporting using CAHPS 5.1H.</t>
        </is>
      </c>
      <c r="J11" s="4" t="n">
        <v>0.5570000000000001</v>
      </c>
      <c r="K11" s="4" t="n">
        <v>0.6840000000000001</v>
      </c>
      <c r="L11" s="4" t="n">
        <v>0.787</v>
      </c>
      <c r="M11" s="4" t="n">
        <v>0.5570000000000001</v>
      </c>
      <c r="N11" s="4" t="n">
        <v>0.655</v>
      </c>
      <c r="O11" s="4" t="n">
        <v>0.719</v>
      </c>
    </row>
    <row r="12">
      <c r="A12" t="inlineStr">
        <is>
          <t>How Well Doctors Communicate Composite</t>
        </is>
      </c>
      <c r="B12" t="inlineStr">
        <is>
          <t>Children with Chronic Conditions (CCC)</t>
        </is>
      </c>
      <c r="C12" t="n">
        <v>2024</v>
      </c>
      <c r="D12" t="inlineStr"/>
      <c r="E12" t="inlineStr"/>
      <c r="F12" t="inlineStr">
        <is>
          <t>Percentage whose Caregiver Selected that Their Doctor Communicates Well "Always," on a Four-Point Scale Ranging from "Never" to "Always": General Child (GC) Population Ages 0 to 17</t>
        </is>
      </c>
      <c r="G12" t="inlineStr">
        <is>
          <t>Higher values are better</t>
        </is>
      </c>
      <c r="H12" t="inlineStr">
        <is>
          <t>Agency for Healthcare Research and Quality (AHRQ) and CMS analysis of the AHRQ CAHPS Database for the July 2023 to June 2024 data collection period as of January 28, 2025.</t>
        </is>
      </c>
      <c r="I12" t="inlineStr"/>
      <c r="J12" t="inlineStr">
        <is>
          <t>Not reported by state</t>
        </is>
      </c>
      <c r="K12" s="4" t="n">
        <v>0.795</v>
      </c>
      <c r="L12" s="4" t="n">
        <v>0.851</v>
      </c>
      <c r="M12" s="4" t="n">
        <v>0.701</v>
      </c>
      <c r="N12" s="4" t="n">
        <v>0.759</v>
      </c>
      <c r="O12" s="4" t="n">
        <v>0.8139999999999999</v>
      </c>
    </row>
    <row r="13">
      <c r="A13" t="inlineStr">
        <is>
          <t>How Well Doctors Communicate Composite</t>
        </is>
      </c>
      <c r="B13" t="inlineStr">
        <is>
          <t>General Child (GC)</t>
        </is>
      </c>
      <c r="C13" t="n">
        <v>2024</v>
      </c>
      <c r="D13" t="inlineStr"/>
      <c r="E13" t="inlineStr"/>
      <c r="F13" t="inlineStr">
        <is>
          <t>Percentage whose Caregiver Selected that Their Doctor Communicates Well "Always," on a Four-Point Scale Ranging from "Never" to "Always": General Child (GC) Population Ages 0 to 17</t>
        </is>
      </c>
      <c r="G13" t="inlineStr">
        <is>
          <t>Higher values are better</t>
        </is>
      </c>
      <c r="H13" t="inlineStr">
        <is>
          <t>Agency for Healthcare Research and Quality (AHRQ) and CMS analysis of the AHRQ CAHPS Database for the July 2023 to June 2024 data collection period as of January 28, 2025.</t>
        </is>
      </c>
      <c r="I13" t="inlineStr"/>
      <c r="J13" t="inlineStr">
        <is>
          <t>Not reported by state</t>
        </is>
      </c>
      <c r="K13" s="4" t="n">
        <v>0.79</v>
      </c>
      <c r="L13" s="4" t="n">
        <v>0.855</v>
      </c>
      <c r="M13" s="4" t="n">
        <v>0.698</v>
      </c>
      <c r="N13" s="4" t="n">
        <v>0.773</v>
      </c>
      <c r="O13" s="4" t="n">
        <v>0.821</v>
      </c>
    </row>
    <row r="14">
      <c r="A14" t="inlineStr">
        <is>
          <t>How Well Doctors Communicate Composite</t>
        </is>
      </c>
      <c r="B14" t="inlineStr"/>
      <c r="C14" t="n">
        <v>2023</v>
      </c>
      <c r="D14" t="inlineStr">
        <is>
          <t>Medicaid</t>
        </is>
      </c>
      <c r="E14" t="inlineStr">
        <is>
          <t>CAHPS 5.1 and CAHPS 5.1H</t>
        </is>
      </c>
      <c r="F14" t="inlineStr">
        <is>
          <t>Percentage whose Caregiver Selected that Their Doctor Communicates Well "Always," on a Four-Point Scale Ranging from "Never" to "Always": General Child (GC) Population Ages 0 to 17</t>
        </is>
      </c>
      <c r="G14" t="inlineStr">
        <is>
          <t>Higher values are better</t>
        </is>
      </c>
      <c r="H14" t="inlineStr">
        <is>
          <t>Agency for Healthcare Research and Quality (AHRQ) and CMS analysis of the AHRQ CAHPS Database for the July 2022 to June 2023 data collection period as of January 24, 2024.</t>
        </is>
      </c>
      <c r="I14" t="inlineStr">
        <is>
          <t>State-specific comments: Medicaid rates were calculated using data from the AHRQ CAHPS Database. Rates include managed care population (12 MCOs). One plan reported using CAHPS 5.1 and 11 plans reporting using CAHPS 5.1H.</t>
        </is>
      </c>
      <c r="J14" s="4" t="n">
        <v>0.743</v>
      </c>
      <c r="K14" s="4" t="n">
        <v>0.788</v>
      </c>
      <c r="L14" s="4" t="n">
        <v>0.847</v>
      </c>
      <c r="M14" s="4" t="n">
        <v>0.702</v>
      </c>
      <c r="N14" s="4" t="n">
        <v>0.764</v>
      </c>
      <c r="O14" s="4" t="n">
        <v>0.8149999999999999</v>
      </c>
    </row>
    <row r="15">
      <c r="A15" t="inlineStr">
        <is>
          <t>Rating of Health Care</t>
        </is>
      </c>
      <c r="B15" t="inlineStr">
        <is>
          <t>Children with Chronic Conditions (CCC)</t>
        </is>
      </c>
      <c r="C15" t="n">
        <v>2024</v>
      </c>
      <c r="D15" t="inlineStr"/>
      <c r="E15" t="inlineStr"/>
      <c r="F15" t="inlineStr">
        <is>
          <t>Percentage whose Caregiver Rated Their Health Care a "9" or "10" on a Scale from 0 to 10, with 10 Representing the Highest Score: General Child (GC) Population Ages 0 to 17</t>
        </is>
      </c>
      <c r="G15" t="inlineStr">
        <is>
          <t>Higher values are better</t>
        </is>
      </c>
      <c r="H15" t="inlineStr">
        <is>
          <t>Agency for Healthcare Research and Quality (AHRQ) and CMS analysis of the AHRQ CAHPS Database for the July 2023 to June 2024 data collection period as of January 28, 2025.</t>
        </is>
      </c>
      <c r="I15" t="inlineStr"/>
      <c r="J15" t="inlineStr">
        <is>
          <t>Not reported by state</t>
        </is>
      </c>
      <c r="K15" s="4" t="n">
        <v>0.665</v>
      </c>
      <c r="L15" s="4" t="n">
        <v>0.745</v>
      </c>
      <c r="M15" s="4" t="n">
        <v>0.543</v>
      </c>
      <c r="N15" s="4" t="n">
        <v>0.625</v>
      </c>
      <c r="O15" s="4" t="n">
        <v>0.6870000000000001</v>
      </c>
    </row>
    <row r="16">
      <c r="A16" t="inlineStr">
        <is>
          <t>Rating of Health Care</t>
        </is>
      </c>
      <c r="B16" t="inlineStr">
        <is>
          <t>General Child (GC)</t>
        </is>
      </c>
      <c r="C16" t="n">
        <v>2024</v>
      </c>
      <c r="D16" t="inlineStr"/>
      <c r="E16" t="inlineStr"/>
      <c r="F16" t="inlineStr">
        <is>
          <t>Percentage whose Caregiver Rated Their Health Care a "9" or "10" on a Scale from 0 to 10, with 10 Representing the Highest Score: General Child (GC) Population Ages 0 to 17</t>
        </is>
      </c>
      <c r="G16" t="inlineStr">
        <is>
          <t>Higher values are better</t>
        </is>
      </c>
      <c r="H16" t="inlineStr">
        <is>
          <t>Agency for Healthcare Research and Quality (AHRQ) and CMS analysis of the AHRQ CAHPS Database for the July 2023 to June 2024 data collection period as of January 28, 2025.</t>
        </is>
      </c>
      <c r="I16" t="inlineStr"/>
      <c r="J16" t="inlineStr">
        <is>
          <t>Not reported by state</t>
        </is>
      </c>
      <c r="K16" s="4" t="n">
        <v>0.698</v>
      </c>
      <c r="L16" s="4" t="n">
        <v>0.8169999999999999</v>
      </c>
      <c r="M16" s="4" t="n">
        <v>0.5669999999999999</v>
      </c>
      <c r="N16" s="4" t="n">
        <v>0.67</v>
      </c>
      <c r="O16" s="4" t="n">
        <v>0.71</v>
      </c>
    </row>
    <row r="17">
      <c r="A17" t="inlineStr">
        <is>
          <t>Rating of Health Care</t>
        </is>
      </c>
      <c r="B17" t="inlineStr"/>
      <c r="C17" t="n">
        <v>2023</v>
      </c>
      <c r="D17" t="inlineStr">
        <is>
          <t>Medicaid</t>
        </is>
      </c>
      <c r="E17" t="inlineStr">
        <is>
          <t>CAHPS 5.1 and CAHPS 5.1H</t>
        </is>
      </c>
      <c r="F17" t="inlineStr">
        <is>
          <t>Percentage whose Caregiver Rated Their Health Care a "9" or "10" on a Scale from 0 to 10, with 10 Representing the Highest Score: General Child (GC) Population Ages 0 to 17</t>
        </is>
      </c>
      <c r="G17" t="inlineStr">
        <is>
          <t>Higher values are better</t>
        </is>
      </c>
      <c r="H17" t="inlineStr">
        <is>
          <t>Agency for Healthcare Research and Quality (AHRQ) and CMS analysis of the AHRQ CAHPS Database for the July 2022 to June 2023 data collection period as of January 24, 2024.</t>
        </is>
      </c>
      <c r="I17" t="inlineStr">
        <is>
          <t>State-specific comments: Medicaid rates were calculated using data from the AHRQ CAHPS Database. Rates include managed care population (12 MCOs). One plan reported using CAHPS 5.1 and 11 plans reporting using CAHPS 5.1H.</t>
        </is>
      </c>
      <c r="J17" s="4" t="n">
        <v>0.675</v>
      </c>
      <c r="K17" s="4" t="n">
        <v>0.6820000000000001</v>
      </c>
      <c r="L17" s="4" t="n">
        <v>0.743</v>
      </c>
      <c r="M17" s="4" t="n">
        <v>0.581</v>
      </c>
      <c r="N17" s="4" t="n">
        <v>0.649</v>
      </c>
      <c r="O17" s="4" t="n">
        <v>0.703</v>
      </c>
    </row>
    <row r="18">
      <c r="A18" t="inlineStr">
        <is>
          <t>Rating of Health Plan</t>
        </is>
      </c>
      <c r="B18" t="inlineStr">
        <is>
          <t>Children with Chronic Conditions (CCC)</t>
        </is>
      </c>
      <c r="C18" t="n">
        <v>2024</v>
      </c>
      <c r="D18" t="inlineStr"/>
      <c r="E18" t="inlineStr"/>
      <c r="F18" t="inlineStr">
        <is>
          <t>Percentage whose Caregiver Rated Their Health Plan a "9" or "10" on a Scale from 0 to 10, with 10 Representing the Highest Score: General Child (GC) Population Ages 0 to 17</t>
        </is>
      </c>
      <c r="G18" t="inlineStr">
        <is>
          <t>Higher values are better</t>
        </is>
      </c>
      <c r="H18" t="inlineStr">
        <is>
          <t>Agency for Healthcare Research and Quality (AHRQ) and CMS analysis of the AHRQ CAHPS Database for the July 2023 to June 2024 data collection period as of January 28, 2025.</t>
        </is>
      </c>
      <c r="I18" t="inlineStr"/>
      <c r="J18" t="inlineStr">
        <is>
          <t>Not reported by state</t>
        </is>
      </c>
      <c r="K18" s="4" t="n">
        <v>0.66</v>
      </c>
      <c r="L18" s="4" t="n">
        <v>0.755</v>
      </c>
      <c r="M18" s="4" t="n">
        <v>0.541</v>
      </c>
      <c r="N18" s="4" t="n">
        <v>0.62</v>
      </c>
      <c r="O18" s="4" t="n">
        <v>0.696</v>
      </c>
    </row>
    <row r="19">
      <c r="A19" t="inlineStr">
        <is>
          <t>Rating of Health Plan</t>
        </is>
      </c>
      <c r="B19" t="inlineStr">
        <is>
          <t>General Child (GC)</t>
        </is>
      </c>
      <c r="C19" t="n">
        <v>2024</v>
      </c>
      <c r="D19" t="inlineStr"/>
      <c r="E19" t="inlineStr"/>
      <c r="F19" t="inlineStr">
        <is>
          <t>Percentage whose Caregiver Rated Their Health Plan a "9" or "10" on a Scale from 0 to 10, with 10 Representing the Highest Score: General Child (GC) Population Ages 0 to 17</t>
        </is>
      </c>
      <c r="G19" t="inlineStr">
        <is>
          <t>Higher values are better</t>
        </is>
      </c>
      <c r="H19" t="inlineStr">
        <is>
          <t>Agency for Healthcare Research and Quality (AHRQ) and CMS analysis of the AHRQ CAHPS Database for the July 2023 to June 2024 data collection period as of January 28, 2025.</t>
        </is>
      </c>
      <c r="I19" t="inlineStr"/>
      <c r="J19" t="inlineStr">
        <is>
          <t>Not reported by state</t>
        </is>
      </c>
      <c r="K19" s="4" t="n">
        <v>0.725</v>
      </c>
      <c r="L19" s="4" t="n">
        <v>0.787</v>
      </c>
      <c r="M19" s="4" t="n">
        <v>0.526</v>
      </c>
      <c r="N19" s="4" t="n">
        <v>0.694</v>
      </c>
      <c r="O19" s="4" t="n">
        <v>0.749</v>
      </c>
    </row>
    <row r="20">
      <c r="A20" t="inlineStr">
        <is>
          <t>Rating of Health Plan</t>
        </is>
      </c>
      <c r="B20" t="inlineStr"/>
      <c r="C20" t="n">
        <v>2023</v>
      </c>
      <c r="D20" t="inlineStr">
        <is>
          <t>Medicaid</t>
        </is>
      </c>
      <c r="E20" t="inlineStr">
        <is>
          <t>CAHPS 5.1 and CAHPS 5.1H</t>
        </is>
      </c>
      <c r="F20" t="inlineStr">
        <is>
          <t>Percentage whose Caregiver Rated Their Health Plan a "9" or "10" on a Scale from 0 to 10, with 10 Representing the Highest Score: General Child (GC) Population Ages 0 to 17</t>
        </is>
      </c>
      <c r="G20" t="inlineStr">
        <is>
          <t>Higher values are better</t>
        </is>
      </c>
      <c r="H20" t="inlineStr">
        <is>
          <t>Agency for Healthcare Research and Quality (AHRQ) and CMS analysis of the AHRQ CAHPS Database for the July 2022 to June 2023 data collection period as of January 24, 2024.</t>
        </is>
      </c>
      <c r="I20" t="inlineStr">
        <is>
          <t>State-specific comments: Medicaid rates were calculated using data from the AHRQ CAHPS Database. Rates include managed care population (12 MCOs). One plan reported using CAHPS 5.1 and 11 plans reporting using CAHPS 5.1H.</t>
        </is>
      </c>
      <c r="J20" s="4" t="n">
        <v>0.592</v>
      </c>
      <c r="K20" s="4" t="n">
        <v>0.718</v>
      </c>
      <c r="L20" s="4" t="n">
        <v>0.787</v>
      </c>
      <c r="M20" s="4" t="n">
        <v>0.538</v>
      </c>
      <c r="N20" s="4" t="n">
        <v>0.6899999999999999</v>
      </c>
      <c r="O20" s="4" t="n">
        <v>0.747</v>
      </c>
    </row>
    <row r="21">
      <c r="A21" t="inlineStr">
        <is>
          <t>Rating of Personal Doctor</t>
        </is>
      </c>
      <c r="B21" t="inlineStr">
        <is>
          <t>Children with Chronic Conditions (CCC)</t>
        </is>
      </c>
      <c r="C21" t="n">
        <v>2024</v>
      </c>
      <c r="D21" t="inlineStr"/>
      <c r="E21" t="inlineStr"/>
      <c r="F21" t="inlineStr">
        <is>
          <t>Percentage whose Caregiver Rated Their Personal Doctor a "9" or "10" on a Scale from 0 to 10, with 10 Representing the Highest Score: General Child (GC) Population Ages 0 to 17</t>
        </is>
      </c>
      <c r="G21" t="inlineStr">
        <is>
          <t>Higher values are better</t>
        </is>
      </c>
      <c r="H21" t="inlineStr">
        <is>
          <t>Agency for Healthcare Research and Quality (AHRQ) and CMS analysis of the AHRQ CAHPS Database for the July 2023 to June 2024 data collection period as of January 28, 2025.</t>
        </is>
      </c>
      <c r="I21" t="inlineStr"/>
      <c r="J21" t="inlineStr">
        <is>
          <t>Not reported by state</t>
        </is>
      </c>
      <c r="K21" s="4" t="n">
        <v>0.752</v>
      </c>
      <c r="L21" s="4" t="n">
        <v>0.819</v>
      </c>
      <c r="M21" s="4" t="n">
        <v>0.64</v>
      </c>
      <c r="N21" s="4" t="n">
        <v>0.73</v>
      </c>
      <c r="O21" s="4" t="n">
        <v>0.779</v>
      </c>
    </row>
    <row r="22">
      <c r="A22" t="inlineStr">
        <is>
          <t>Rating of Personal Doctor</t>
        </is>
      </c>
      <c r="B22" t="inlineStr">
        <is>
          <t>General Child (GC)</t>
        </is>
      </c>
      <c r="C22" t="n">
        <v>2024</v>
      </c>
      <c r="D22" t="inlineStr"/>
      <c r="E22" t="inlineStr"/>
      <c r="F22" t="inlineStr">
        <is>
          <t>Percentage whose Caregiver Rated Their Personal Doctor a "9" or "10" on a Scale from 0 to 10, with 10 Representing the Highest Score: General Child (GC) Population Ages 0 to 17</t>
        </is>
      </c>
      <c r="G22" t="inlineStr">
        <is>
          <t>Higher values are better</t>
        </is>
      </c>
      <c r="H22" t="inlineStr">
        <is>
          <t>Agency for Healthcare Research and Quality (AHRQ) and CMS analysis of the AHRQ CAHPS Database for the July 2023 to June 2024 data collection period as of January 28, 2025.</t>
        </is>
      </c>
      <c r="I22" t="inlineStr"/>
      <c r="J22" t="inlineStr">
        <is>
          <t>Not reported by state</t>
        </is>
      </c>
      <c r="K22" s="4" t="n">
        <v>0.771</v>
      </c>
      <c r="L22" s="4" t="n">
        <v>0.833</v>
      </c>
      <c r="M22" s="4" t="n">
        <v>0.672</v>
      </c>
      <c r="N22" s="4" t="n">
        <v>0.743</v>
      </c>
      <c r="O22" s="4" t="n">
        <v>0.791</v>
      </c>
    </row>
    <row r="23">
      <c r="A23" t="inlineStr">
        <is>
          <t>Rating of Personal Doctor</t>
        </is>
      </c>
      <c r="B23" t="inlineStr"/>
      <c r="C23" t="n">
        <v>2023</v>
      </c>
      <c r="D23" t="inlineStr">
        <is>
          <t>Medicaid</t>
        </is>
      </c>
      <c r="E23" t="inlineStr">
        <is>
          <t>CAHPS 5.1 and CAHPS 5.1H</t>
        </is>
      </c>
      <c r="F23" t="inlineStr">
        <is>
          <t>Percentage whose Caregiver Rated Their Personal Doctor a "9" or "10" on a Scale from 0 to 10, with 10 Representing the Highest Score: General Child (GC) Population Ages 0 to 17</t>
        </is>
      </c>
      <c r="G23" t="inlineStr">
        <is>
          <t>Higher values are better</t>
        </is>
      </c>
      <c r="H23" t="inlineStr">
        <is>
          <t>Agency for Healthcare Research and Quality (AHRQ) and CMS analysis of the AHRQ CAHPS Database for the July 2022 to June 2023 data collection period as of January 24, 2024.</t>
        </is>
      </c>
      <c r="I23" t="inlineStr">
        <is>
          <t>State-specific comments: Medicaid rates were calculated using data from the AHRQ CAHPS Database. Rates include managed care population (12 MCOs). One plan reported using CAHPS 5.1 and 11 plans reporting using CAHPS 5.1H.</t>
        </is>
      </c>
      <c r="J23" s="4" t="n">
        <v>0.75</v>
      </c>
      <c r="K23" s="4" t="n">
        <v>0.752</v>
      </c>
      <c r="L23" s="4" t="n">
        <v>0.822</v>
      </c>
      <c r="M23" s="4" t="n">
        <v>0.697</v>
      </c>
      <c r="N23" s="4" t="n">
        <v>0.732</v>
      </c>
      <c r="O23" s="4" t="n">
        <v>0.78</v>
      </c>
    </row>
    <row r="24">
      <c r="A24" t="inlineStr">
        <is>
          <t>Rating of Specialist</t>
        </is>
      </c>
      <c r="B24" t="inlineStr">
        <is>
          <t>Children with Chronic Conditions (CCC)</t>
        </is>
      </c>
      <c r="C24" t="n">
        <v>2024</v>
      </c>
      <c r="D24" t="inlineStr"/>
      <c r="E24" t="inlineStr"/>
      <c r="F24" t="inlineStr">
        <is>
          <t>Percentage whose Caregiver Rated Their Specialist a "9" or "10" on a Scale from 0 to 10, with 10 Representing the Highest Score: General Child (GC) Population Ages 0 to 17</t>
        </is>
      </c>
      <c r="G24" t="inlineStr">
        <is>
          <t>Higher values are better</t>
        </is>
      </c>
      <c r="H24" t="inlineStr">
        <is>
          <t>Agency for Healthcare Research and Quality (AHRQ) and CMS analysis of the AHRQ CAHPS Database for the July 2023 to June 2024 data collection period as of January 28, 2025.</t>
        </is>
      </c>
      <c r="I24" t="inlineStr"/>
      <c r="J24" t="inlineStr">
        <is>
          <t>Not reported by state</t>
        </is>
      </c>
      <c r="K24" s="4" t="n">
        <v>0.703</v>
      </c>
      <c r="L24" s="4" t="n">
        <v>0.8169999999999999</v>
      </c>
      <c r="M24" s="4" t="n">
        <v>0.619</v>
      </c>
      <c r="N24" s="4" t="n">
        <v>0.678</v>
      </c>
      <c r="O24" s="4" t="n">
        <v>0.746</v>
      </c>
    </row>
    <row r="25">
      <c r="A25" t="inlineStr">
        <is>
          <t>Rating of Specialist</t>
        </is>
      </c>
      <c r="B25" t="inlineStr">
        <is>
          <t>General Child (GC)</t>
        </is>
      </c>
      <c r="C25" t="n">
        <v>2024</v>
      </c>
      <c r="D25" t="inlineStr"/>
      <c r="E25" t="inlineStr"/>
      <c r="F25" t="inlineStr">
        <is>
          <t>Percentage whose Caregiver Rated Their Specialist a "9" or "10" on a Scale from 0 to 10, with 10 Representing the Highest Score: General Child (GC) Population Ages 0 to 17</t>
        </is>
      </c>
      <c r="G25" t="inlineStr">
        <is>
          <t>Higher values are better</t>
        </is>
      </c>
      <c r="H25" t="inlineStr">
        <is>
          <t>Agency for Healthcare Research and Quality (AHRQ) and CMS analysis of the AHRQ CAHPS Database for the July 2023 to June 2024 data collection period as of January 28, 2025.</t>
        </is>
      </c>
      <c r="I25" t="inlineStr"/>
      <c r="J25" t="inlineStr">
        <is>
          <t>Not reported by state</t>
        </is>
      </c>
      <c r="K25" s="4" t="n">
        <v>0.726</v>
      </c>
      <c r="L25" s="4" t="n">
        <v>0.837</v>
      </c>
      <c r="M25" s="4" t="n">
        <v>0.639</v>
      </c>
      <c r="N25" s="4" t="n">
        <v>0.707</v>
      </c>
      <c r="O25" s="4" t="n">
        <v>0.752</v>
      </c>
    </row>
    <row r="26">
      <c r="A26" t="inlineStr">
        <is>
          <t>Rating of Specialist</t>
        </is>
      </c>
      <c r="B26" t="inlineStr"/>
      <c r="C26" t="n">
        <v>2023</v>
      </c>
      <c r="D26" t="inlineStr">
        <is>
          <t>Medicaid</t>
        </is>
      </c>
      <c r="E26" t="inlineStr">
        <is>
          <t>CAHPS 5.1 and CAHPS 5.1H</t>
        </is>
      </c>
      <c r="F26" t="inlineStr">
        <is>
          <t>Percentage whose Caregiver Rated Their Specialist a "9" or "10" on a Scale from 0 to 10, with 10 Representing the Highest Score: General Child (GC) Population Ages 0 to 17</t>
        </is>
      </c>
      <c r="G26" t="inlineStr">
        <is>
          <t>Higher values are better</t>
        </is>
      </c>
      <c r="H26" t="inlineStr">
        <is>
          <t>Agency for Healthcare Research and Quality (AHRQ) and CMS analysis of the AHRQ CAHPS Database for the July 2022 to June 2023 data collection period as of January 24, 2024.</t>
        </is>
      </c>
      <c r="I26" t="inlineStr">
        <is>
          <t>State-specific comments: Medicaid rates were calculated using data from the AHRQ CAHPS Database. Rates include managed care population (12 MCOs). One plan reported using CAHPS 5.1 and 11 plans reporting using CAHPS 5.1H.</t>
        </is>
      </c>
      <c r="J26" s="4" t="n">
        <v>0.59</v>
      </c>
      <c r="K26" s="4" t="n">
        <v>0.724</v>
      </c>
      <c r="L26" s="4" t="n">
        <v>0.788</v>
      </c>
      <c r="M26" s="4" t="n">
        <v>0.59</v>
      </c>
      <c r="N26" s="4" t="n">
        <v>0.6919999999999999</v>
      </c>
      <c r="O26" s="4" t="n">
        <v>0.735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56" customWidth="1" min="1" max="1"/>
    <col width="13" customWidth="1" min="2" max="2"/>
    <col width="12" customWidth="1" min="3" max="3"/>
    <col width="13" customWidth="1" min="4" max="4"/>
    <col width="60" customWidth="1" min="5" max="5"/>
    <col width="26" customWidth="1" min="6" max="6"/>
    <col width="60" customWidth="1" min="7" max="7"/>
    <col width="60" customWidth="1" min="8" max="8"/>
    <col width="23"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CAHPS Health Plan Survey 5.1H, Adult Version (Medicaid): Age 18 and Older (CPA-AD)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Coordination of Care</t>
        </is>
      </c>
      <c r="B4" t="n">
        <v>2024</v>
      </c>
      <c r="C4" t="inlineStr">
        <is>
          <t>Medicaid</t>
        </is>
      </c>
      <c r="D4" t="inlineStr">
        <is>
          <t>CAHPS 5.1H</t>
        </is>
      </c>
      <c r="E4" t="inlineStr">
        <is>
          <t>Percentage who Selected Their Personal Doctor "Always" Seemed Informed and Up-to-Date about Care from Other Providers, on a Four-Point Scale Ranging from "Never" to "Always": Age 18 and Older</t>
        </is>
      </c>
      <c r="F4" t="inlineStr">
        <is>
          <t>Higher values are better</t>
        </is>
      </c>
      <c r="G4" t="inlineStr">
        <is>
          <t>Agency for Healthcare Research and Quality (AHRQ) and CMS analysis of the AHRQ CAHPS Database for the July 2023 to June 2024 data collection period as of January 28, 2025.</t>
        </is>
      </c>
      <c r="H4" t="inlineStr">
        <is>
          <t>State-specific comments: Rates were calculated using data from the AHRQ CAHPS Database. Rates include managed care population (12 MCOs).</t>
        </is>
      </c>
      <c r="I4" s="4" t="n">
        <v>0.462</v>
      </c>
      <c r="J4" s="4" t="n">
        <v>0.593</v>
      </c>
      <c r="K4" s="4" t="n">
        <v>0.667</v>
      </c>
      <c r="L4" s="4" t="n">
        <v>0.461</v>
      </c>
      <c r="M4" s="4" t="n">
        <v>0.5639999999999999</v>
      </c>
      <c r="N4" s="4" t="n">
        <v>0.629</v>
      </c>
    </row>
    <row r="5">
      <c r="A5" t="inlineStr">
        <is>
          <t>Getting Care Quickly Composite</t>
        </is>
      </c>
      <c r="B5" t="n">
        <v>2023</v>
      </c>
      <c r="C5" t="inlineStr"/>
      <c r="D5" t="inlineStr"/>
      <c r="E5" t="inlineStr">
        <is>
          <t>Percentage who Selected They "Always" Got Care Quickly on a Four-Point Scale Ranging from "Never" to "Always": Age 18 and Older</t>
        </is>
      </c>
      <c r="F5" t="inlineStr">
        <is>
          <t>Higher values are better</t>
        </is>
      </c>
      <c r="G5" t="inlineStr">
        <is>
          <t>Agency for Healthcare Research and Quality (AHRQ) and CMS analysis of the AHRQ CAHPS Database for the July 2022 to June 2023 data collection period as of January 24, 2024.</t>
        </is>
      </c>
      <c r="H5" t="inlineStr"/>
      <c r="I5" t="inlineStr">
        <is>
          <t>Not reported by state</t>
        </is>
      </c>
      <c r="J5" s="4" t="n">
        <v>0.5620000000000001</v>
      </c>
      <c r="K5" s="4" t="n">
        <v>0.664</v>
      </c>
      <c r="L5" s="4" t="n">
        <v>0.427</v>
      </c>
      <c r="M5" s="4" t="n">
        <v>0.534</v>
      </c>
      <c r="N5" s="4" t="n">
        <v>0.601</v>
      </c>
    </row>
    <row r="6">
      <c r="A6" t="inlineStr">
        <is>
          <t>Getting Care Quickly Composite</t>
        </is>
      </c>
      <c r="B6" t="n">
        <v>2024</v>
      </c>
      <c r="C6" t="inlineStr">
        <is>
          <t>Medicaid</t>
        </is>
      </c>
      <c r="D6" t="inlineStr">
        <is>
          <t>CAHPS 5.1H</t>
        </is>
      </c>
      <c r="E6" t="inlineStr">
        <is>
          <t>Percentage who Selected They "Always" Got Care Quickly on a Four-Point Scale Ranging from "Never" to "Always": Age 18 and Older</t>
        </is>
      </c>
      <c r="F6" t="inlineStr">
        <is>
          <t>Higher values are better</t>
        </is>
      </c>
      <c r="G6" t="inlineStr">
        <is>
          <t>Agency for Healthcare Research and Quality (AHRQ) and CMS analysis of the AHRQ CAHPS Database for the July 2023 to June 2024 data collection period as of January 28, 2025.</t>
        </is>
      </c>
      <c r="H6" t="inlineStr">
        <is>
          <t>State-specific comments: Rates were calculated using data from the AHRQ CAHPS Database. Rates include managed care population (12 MCOs).</t>
        </is>
      </c>
      <c r="I6" s="4" t="n">
        <v>0.474</v>
      </c>
      <c r="J6" s="4" t="n">
        <v>0.5679999999999999</v>
      </c>
      <c r="K6" s="4" t="n">
        <v>0.662</v>
      </c>
      <c r="L6" s="4" t="n">
        <v>0.419</v>
      </c>
      <c r="M6" s="4" t="n">
        <v>0.522</v>
      </c>
      <c r="N6" s="4" t="n">
        <v>0.607</v>
      </c>
    </row>
    <row r="7">
      <c r="A7" t="inlineStr">
        <is>
          <t>Getting Needed Care Composite</t>
        </is>
      </c>
      <c r="B7" t="n">
        <v>2023</v>
      </c>
      <c r="C7" t="inlineStr"/>
      <c r="D7" t="inlineStr"/>
      <c r="E7" t="inlineStr">
        <is>
          <t>Percentage who Selected They "Always" Got Needed Care, on a Four-Point Scale Ranging from "Never" to "Always": Age 18 and Older</t>
        </is>
      </c>
      <c r="F7" t="inlineStr">
        <is>
          <t>Higher values are better</t>
        </is>
      </c>
      <c r="G7" t="inlineStr">
        <is>
          <t>Agency for Healthcare Research and Quality (AHRQ) and CMS analysis of the AHRQ CAHPS Database for the July 2022 to June 2023 data collection period as of January 24, 2024.</t>
        </is>
      </c>
      <c r="H7" t="inlineStr"/>
      <c r="I7" t="inlineStr">
        <is>
          <t>Not reported by state</t>
        </is>
      </c>
      <c r="J7" s="4" t="n">
        <v>0.539</v>
      </c>
      <c r="K7" s="4" t="n">
        <v>0.643</v>
      </c>
      <c r="L7" s="4" t="n">
        <v>0.4</v>
      </c>
      <c r="M7" s="4" t="n">
        <v>0.475</v>
      </c>
      <c r="N7" s="4" t="n">
        <v>0.5669999999999999</v>
      </c>
    </row>
    <row r="8">
      <c r="A8" t="inlineStr">
        <is>
          <t>Getting Needed Care Composite</t>
        </is>
      </c>
      <c r="B8" t="n">
        <v>2024</v>
      </c>
      <c r="C8" t="inlineStr">
        <is>
          <t>Medicaid</t>
        </is>
      </c>
      <c r="D8" t="inlineStr">
        <is>
          <t>CAHPS 5.1H</t>
        </is>
      </c>
      <c r="E8" t="inlineStr">
        <is>
          <t>Percentage who Selected They "Always" Got Needed Care, on a Four-Point Scale Ranging from "Never" to "Always": Age 18 and Older</t>
        </is>
      </c>
      <c r="F8" t="inlineStr">
        <is>
          <t>Higher values are better</t>
        </is>
      </c>
      <c r="G8" t="inlineStr">
        <is>
          <t>Agency for Healthcare Research and Quality (AHRQ) and CMS analysis of the AHRQ CAHPS Database for the July 2023 to June 2024 data collection period as of January 28, 2025.</t>
        </is>
      </c>
      <c r="H8" t="inlineStr">
        <is>
          <t>State-specific comments: Rates were calculated using data from the AHRQ CAHPS Database. Rates include managed care population (12 MCOs).</t>
        </is>
      </c>
      <c r="I8" s="4" t="n">
        <v>0.396</v>
      </c>
      <c r="J8" s="4" t="n">
        <v>0.528</v>
      </c>
      <c r="K8" s="4" t="n">
        <v>0.659</v>
      </c>
      <c r="L8" s="4" t="n">
        <v>0.396</v>
      </c>
      <c r="M8" s="4" t="n">
        <v>0.481</v>
      </c>
      <c r="N8" s="4" t="n">
        <v>0.5649999999999999</v>
      </c>
    </row>
    <row r="9">
      <c r="A9" t="inlineStr">
        <is>
          <t>Health Plan Information and Customer Service Composite</t>
        </is>
      </c>
      <c r="B9" t="n">
        <v>2023</v>
      </c>
      <c r="C9" t="inlineStr"/>
      <c r="D9" t="inlineStr"/>
      <c r="E9" t="inlineStr">
        <is>
          <t>Percentage who Selected their Health Plan Customer Service "Always" Gave Helpful Information and was Courteous and Respectful, on a Four-Point Scale Ranging from "Never" to "Always": Age 18 and Older</t>
        </is>
      </c>
      <c r="F9" t="inlineStr">
        <is>
          <t>Higher values are better</t>
        </is>
      </c>
      <c r="G9" t="inlineStr">
        <is>
          <t>Agency for Healthcare Research and Quality (AHRQ) and CMS analysis of the AHRQ CAHPS Database for the July 2022 to June 2023 data collection period as of January 24, 2024.</t>
        </is>
      </c>
      <c r="H9" t="inlineStr"/>
      <c r="I9" t="inlineStr">
        <is>
          <t>Not reported by state</t>
        </is>
      </c>
      <c r="J9" s="4" t="n">
        <v>0.698</v>
      </c>
      <c r="K9" s="4" t="n">
        <v>0.759</v>
      </c>
      <c r="L9" s="4" t="n">
        <v>0.58</v>
      </c>
      <c r="M9" s="4" t="n">
        <v>0.667</v>
      </c>
      <c r="N9" s="4" t="n">
        <v>0.725</v>
      </c>
    </row>
    <row r="10">
      <c r="A10" t="inlineStr">
        <is>
          <t>Health Plan Information and Customer Service Composite</t>
        </is>
      </c>
      <c r="B10" t="n">
        <v>2024</v>
      </c>
      <c r="C10" t="inlineStr">
        <is>
          <t>Medicaid</t>
        </is>
      </c>
      <c r="D10" t="inlineStr">
        <is>
          <t>CAHPS 5.1H</t>
        </is>
      </c>
      <c r="E10" t="inlineStr">
        <is>
          <t>Percentage who Selected their Health Plan Customer Service "Always" Gave Helpful Information and was Courteous and Respectful, on a Four-Point Scale Ranging from "Never" to "Always": Age 18 and Older</t>
        </is>
      </c>
      <c r="F10" t="inlineStr">
        <is>
          <t>Higher values are better</t>
        </is>
      </c>
      <c r="G10" t="inlineStr">
        <is>
          <t>Agency for Healthcare Research and Quality (AHRQ) and CMS analysis of the AHRQ CAHPS Database for the July 2023 to June 2024 data collection period as of January 28, 2025.</t>
        </is>
      </c>
      <c r="H10" t="inlineStr">
        <is>
          <t>State-specific comments: Rates were calculated using data from the AHRQ CAHPS Database. Rates include managed care population (12 MCOs).</t>
        </is>
      </c>
      <c r="I10" s="4" t="n">
        <v>0.609</v>
      </c>
      <c r="J10" s="4" t="n">
        <v>0.6860000000000001</v>
      </c>
      <c r="K10" s="4" t="n">
        <v>0.761</v>
      </c>
      <c r="L10" s="4" t="n">
        <v>0.573</v>
      </c>
      <c r="M10" s="4" t="n">
        <v>0.659</v>
      </c>
      <c r="N10" s="4" t="n">
        <v>0.71</v>
      </c>
    </row>
    <row r="11">
      <c r="A11" t="inlineStr">
        <is>
          <t>How Well Doctors Communicate Composite</t>
        </is>
      </c>
      <c r="B11" t="n">
        <v>2023</v>
      </c>
      <c r="C11" t="inlineStr"/>
      <c r="D11" t="inlineStr"/>
      <c r="E11" t="inlineStr">
        <is>
          <t>Percentage who Selected that Their Doctor Communicates Well "Always," on a Four-Point Scale Ranging from "Never" to "Always": Age 18 and Older</t>
        </is>
      </c>
      <c r="F11" t="inlineStr">
        <is>
          <t>Higher values are better</t>
        </is>
      </c>
      <c r="G11" t="inlineStr">
        <is>
          <t>Agency for Healthcare Research and Quality (AHRQ) and CMS analysis of the AHRQ CAHPS Database for the July 2022 to June 2023 data collection period as of January 24, 2024.</t>
        </is>
      </c>
      <c r="H11" t="inlineStr"/>
      <c r="I11" t="inlineStr">
        <is>
          <t>Not reported by state</t>
        </is>
      </c>
      <c r="J11" s="4" t="n">
        <v>0.762</v>
      </c>
      <c r="K11" s="4" t="n">
        <v>0.832</v>
      </c>
      <c r="L11" s="4" t="n">
        <v>0.64</v>
      </c>
      <c r="M11" s="4" t="n">
        <v>0.736</v>
      </c>
      <c r="N11" s="4" t="n">
        <v>0.79</v>
      </c>
    </row>
    <row r="12">
      <c r="A12" t="inlineStr">
        <is>
          <t>How Well Doctors Communicate Composite</t>
        </is>
      </c>
      <c r="B12" t="n">
        <v>2024</v>
      </c>
      <c r="C12" t="inlineStr">
        <is>
          <t>Medicaid</t>
        </is>
      </c>
      <c r="D12" t="inlineStr">
        <is>
          <t>CAHPS 5.1H</t>
        </is>
      </c>
      <c r="E12" t="inlineStr">
        <is>
          <t>Percentage who Selected that Their Doctor Communicates Well "Always," on a Four-Point Scale Ranging from "Never" to "Always": Age 18 and Older</t>
        </is>
      </c>
      <c r="F12" t="inlineStr">
        <is>
          <t>Higher values are better</t>
        </is>
      </c>
      <c r="G12" t="inlineStr">
        <is>
          <t>Agency for Healthcare Research and Quality (AHRQ) and CMS analysis of the AHRQ CAHPS Database for the July 2023 to June 2024 data collection period as of January 28, 2025.</t>
        </is>
      </c>
      <c r="H12" t="inlineStr">
        <is>
          <t>State-specific comments: Rates were calculated using data from the AHRQ CAHPS Database. Rates include managed care population (12 MCOs).</t>
        </is>
      </c>
      <c r="I12" s="4" t="n">
        <v>0.6860000000000001</v>
      </c>
      <c r="J12" s="4" t="n">
        <v>0.761</v>
      </c>
      <c r="K12" s="4" t="n">
        <v>0.845</v>
      </c>
      <c r="L12" s="4" t="n">
        <v>0.655</v>
      </c>
      <c r="M12" s="4" t="n">
        <v>0.747</v>
      </c>
      <c r="N12" s="4" t="n">
        <v>0.793</v>
      </c>
    </row>
    <row r="13">
      <c r="A13" t="inlineStr">
        <is>
          <t>Rating of Health Care</t>
        </is>
      </c>
      <c r="B13" t="n">
        <v>2023</v>
      </c>
      <c r="C13" t="inlineStr"/>
      <c r="D13" t="inlineStr"/>
      <c r="E13" t="inlineStr">
        <is>
          <t>Percentage who Rated Their Health Care a "9" or "10" on a Scale from 0 to 10, with 10 Representing the Highest Score: Age 18 and Older</t>
        </is>
      </c>
      <c r="F13" t="inlineStr">
        <is>
          <t>Higher values are better</t>
        </is>
      </c>
      <c r="G13" t="inlineStr">
        <is>
          <t>Agency for Healthcare Research and Quality (AHRQ) and CMS analysis of the AHRQ CAHPS Database for the July 2022 to June 2023 data collection period as of January 24, 2024.</t>
        </is>
      </c>
      <c r="H13" t="inlineStr"/>
      <c r="I13" t="inlineStr">
        <is>
          <t>Not reported by state</t>
        </is>
      </c>
      <c r="J13" s="4" t="n">
        <v>0.553</v>
      </c>
      <c r="K13" s="4" t="n">
        <v>0.621</v>
      </c>
      <c r="L13" s="4" t="n">
        <v>0.457</v>
      </c>
      <c r="M13" s="4" t="n">
        <v>0.513</v>
      </c>
      <c r="N13" s="4" t="n">
        <v>0.584</v>
      </c>
    </row>
    <row r="14">
      <c r="A14" t="inlineStr">
        <is>
          <t>Rating of Health Care</t>
        </is>
      </c>
      <c r="B14" t="n">
        <v>2024</v>
      </c>
      <c r="C14" t="inlineStr">
        <is>
          <t>Medicaid</t>
        </is>
      </c>
      <c r="D14" t="inlineStr">
        <is>
          <t>CAHPS 5.1H</t>
        </is>
      </c>
      <c r="E14" t="inlineStr">
        <is>
          <t>Percentage who Rated Their Health Care a "9" or "10" on a Scale from 0 to 10, with 10 Representing the Highest Score: Age 18 and Older</t>
        </is>
      </c>
      <c r="F14" t="inlineStr">
        <is>
          <t>Higher values are better</t>
        </is>
      </c>
      <c r="G14" t="inlineStr">
        <is>
          <t>Agency for Healthcare Research and Quality (AHRQ) and CMS analysis of the AHRQ CAHPS Database for the July 2023 to June 2024 data collection period as of January 28, 2025.</t>
        </is>
      </c>
      <c r="H14" t="inlineStr">
        <is>
          <t>State-specific comments: Rates were calculated using data from the AHRQ CAHPS Database. Rates include managed care population (12 MCOs).</t>
        </is>
      </c>
      <c r="I14" s="4" t="n">
        <v>0.485</v>
      </c>
      <c r="J14" s="4" t="n">
        <v>0.5590000000000001</v>
      </c>
      <c r="K14" s="4" t="n">
        <v>0.67</v>
      </c>
      <c r="L14" s="4" t="n">
        <v>0.44</v>
      </c>
      <c r="M14" s="4" t="n">
        <v>0.524</v>
      </c>
      <c r="N14" s="4" t="n">
        <v>0.589</v>
      </c>
    </row>
    <row r="15">
      <c r="A15" t="inlineStr">
        <is>
          <t>Rating of Health Plan</t>
        </is>
      </c>
      <c r="B15" t="n">
        <v>2023</v>
      </c>
      <c r="C15" t="inlineStr"/>
      <c r="D15" t="inlineStr"/>
      <c r="E15" t="inlineStr">
        <is>
          <t>Percentage who Rated Their Health Plan a "9" or "10" on a Scale from 0 to 10, with 10 Representing the Highest Score: Age 18 and Older</t>
        </is>
      </c>
      <c r="F15" t="inlineStr">
        <is>
          <t>Higher values are better</t>
        </is>
      </c>
      <c r="G15" t="inlineStr">
        <is>
          <t>Agency for Healthcare Research and Quality (AHRQ) and CMS analysis of the AHRQ CAHPS Database for the July 2022 to June 2023 data collection period as of January 24, 2024.</t>
        </is>
      </c>
      <c r="H15" t="inlineStr"/>
      <c r="I15" t="inlineStr">
        <is>
          <t>Not reported by state</t>
        </is>
      </c>
      <c r="J15" s="4" t="n">
        <v>0.627</v>
      </c>
      <c r="K15" s="4" t="n">
        <v>0.697</v>
      </c>
      <c r="L15" s="4" t="n">
        <v>0.496</v>
      </c>
      <c r="M15" s="4" t="n">
        <v>0.577</v>
      </c>
      <c r="N15" s="4" t="n">
        <v>0.646</v>
      </c>
    </row>
    <row r="16">
      <c r="A16" t="inlineStr">
        <is>
          <t>Rating of Health Plan</t>
        </is>
      </c>
      <c r="B16" t="n">
        <v>2024</v>
      </c>
      <c r="C16" t="inlineStr">
        <is>
          <t>Medicaid</t>
        </is>
      </c>
      <c r="D16" t="inlineStr">
        <is>
          <t>CAHPS 5.1H</t>
        </is>
      </c>
      <c r="E16" t="inlineStr">
        <is>
          <t>Percentage who Rated Their Health Plan a "9" or "10" on a Scale from 0 to 10, with 10 Representing the Highest Score: Age 18 and Older</t>
        </is>
      </c>
      <c r="F16" t="inlineStr">
        <is>
          <t>Higher values are better</t>
        </is>
      </c>
      <c r="G16" t="inlineStr">
        <is>
          <t>Agency for Healthcare Research and Quality (AHRQ) and CMS analysis of the AHRQ CAHPS Database for the July 2023 to June 2024 data collection period as of January 28, 2025.</t>
        </is>
      </c>
      <c r="H16" t="inlineStr">
        <is>
          <t>State-specific comments: Rates were calculated using data from the AHRQ CAHPS Database. Rates include managed care population (12 MCOs).</t>
        </is>
      </c>
      <c r="I16" s="4" t="n">
        <v>0.533</v>
      </c>
      <c r="J16" s="4" t="n">
        <v>0.616</v>
      </c>
      <c r="K16" s="4" t="n">
        <v>0.712</v>
      </c>
      <c r="L16" s="4" t="n">
        <v>0.475</v>
      </c>
      <c r="M16" s="4" t="n">
        <v>0.5649999999999999</v>
      </c>
      <c r="N16" s="4" t="n">
        <v>0.653</v>
      </c>
    </row>
    <row r="17">
      <c r="A17" t="inlineStr">
        <is>
          <t>Rating of Personal Doctor</t>
        </is>
      </c>
      <c r="B17" t="n">
        <v>2023</v>
      </c>
      <c r="C17" t="inlineStr"/>
      <c r="D17" t="inlineStr"/>
      <c r="E17" t="inlineStr">
        <is>
          <t>Percentage who Rated Their Personal Doctor a "9" or "10" on a Scale from 0 to 10, with 10 Representing the Highest Score: Age 18 and Older</t>
        </is>
      </c>
      <c r="F17" t="inlineStr">
        <is>
          <t>Higher values are better</t>
        </is>
      </c>
      <c r="G17" t="inlineStr">
        <is>
          <t>Agency for Healthcare Research and Quality (AHRQ) and CMS analysis of the AHRQ CAHPS Database for the July 2022 to June 2023 data collection period as of January 24, 2024.</t>
        </is>
      </c>
      <c r="H17" t="inlineStr"/>
      <c r="I17" t="inlineStr">
        <is>
          <t>Not reported by state</t>
        </is>
      </c>
      <c r="J17" s="4" t="n">
        <v>0.6840000000000001</v>
      </c>
      <c r="K17" s="4" t="n">
        <v>0.771</v>
      </c>
      <c r="L17" s="4" t="n">
        <v>0.588</v>
      </c>
      <c r="M17" s="4" t="n">
        <v>0.656</v>
      </c>
      <c r="N17" s="4" t="n">
        <v>0.714</v>
      </c>
    </row>
    <row r="18">
      <c r="A18" t="inlineStr">
        <is>
          <t>Rating of Personal Doctor</t>
        </is>
      </c>
      <c r="B18" t="n">
        <v>2024</v>
      </c>
      <c r="C18" t="inlineStr">
        <is>
          <t>Medicaid</t>
        </is>
      </c>
      <c r="D18" t="inlineStr">
        <is>
          <t>CAHPS 5.1H</t>
        </is>
      </c>
      <c r="E18" t="inlineStr">
        <is>
          <t>Percentage who Rated Their Personal Doctor a "9" or "10" on a Scale from 0 to 10, with 10 Representing the Highest Score: Age 18 and Older</t>
        </is>
      </c>
      <c r="F18" t="inlineStr">
        <is>
          <t>Higher values are better</t>
        </is>
      </c>
      <c r="G18" t="inlineStr">
        <is>
          <t>Agency for Healthcare Research and Quality (AHRQ) and CMS analysis of the AHRQ CAHPS Database for the July 2023 to June 2024 data collection period as of January 28, 2025.</t>
        </is>
      </c>
      <c r="H18" t="inlineStr">
        <is>
          <t>State-specific comments: Rates were calculated using data from the AHRQ CAHPS Database. Rates include managed care population (12 MCOs).</t>
        </is>
      </c>
      <c r="I18" s="4" t="n">
        <v>0.618</v>
      </c>
      <c r="J18" s="4" t="n">
        <v>0.695</v>
      </c>
      <c r="K18" s="4" t="n">
        <v>0.8179999999999999</v>
      </c>
      <c r="L18" s="4" t="n">
        <v>0.601</v>
      </c>
      <c r="M18" s="4" t="n">
        <v>0.663</v>
      </c>
      <c r="N18" s="4" t="n">
        <v>0.715</v>
      </c>
    </row>
    <row r="19">
      <c r="A19" t="inlineStr">
        <is>
          <t>Rating of Specialist</t>
        </is>
      </c>
      <c r="B19" t="n">
        <v>2023</v>
      </c>
      <c r="C19" t="inlineStr"/>
      <c r="D19" t="inlineStr"/>
      <c r="E19" t="inlineStr">
        <is>
          <t>Percentage who Rated Their Specialist a "9" or "10" on a Scale from 0 to 10, with 10 Representing the Highest Score: Age 18 and Older</t>
        </is>
      </c>
      <c r="F19" t="inlineStr">
        <is>
          <t>Higher values are better</t>
        </is>
      </c>
      <c r="G19" t="inlineStr">
        <is>
          <t>Agency for Healthcare Research and Quality (AHRQ) and CMS analysis of the AHRQ CAHPS Database for the July 2022 to June 2023 data collection period as of January 24, 2024.</t>
        </is>
      </c>
      <c r="H19" t="inlineStr"/>
      <c r="I19" t="inlineStr">
        <is>
          <t>Not reported by state</t>
        </is>
      </c>
      <c r="J19" s="4" t="n">
        <v>0.666</v>
      </c>
      <c r="K19" s="4" t="n">
        <v>0.732</v>
      </c>
      <c r="L19" s="4" t="n">
        <v>0.5580000000000001</v>
      </c>
      <c r="M19" s="4" t="n">
        <v>0.639</v>
      </c>
      <c r="N19" s="4" t="n">
        <v>0.6899999999999999</v>
      </c>
    </row>
    <row r="20">
      <c r="A20" t="inlineStr">
        <is>
          <t>Rating of Specialist</t>
        </is>
      </c>
      <c r="B20" t="n">
        <v>2024</v>
      </c>
      <c r="C20" t="inlineStr">
        <is>
          <t>Medicaid</t>
        </is>
      </c>
      <c r="D20" t="inlineStr">
        <is>
          <t>CAHPS 5.1H</t>
        </is>
      </c>
      <c r="E20" t="inlineStr">
        <is>
          <t>Percentage who Rated Their Specialist a "9" or "10" on a Scale from 0 to 10, with 10 Representing the Highest Score: Age 18 and Older</t>
        </is>
      </c>
      <c r="F20" t="inlineStr">
        <is>
          <t>Higher values are better</t>
        </is>
      </c>
      <c r="G20" t="inlineStr">
        <is>
          <t>Agency for Healthcare Research and Quality (AHRQ) and CMS analysis of the AHRQ CAHPS Database for the July 2023 to June 2024 data collection period as of January 28, 2025.</t>
        </is>
      </c>
      <c r="H20" t="inlineStr">
        <is>
          <t>State-specific comments: Rates were calculated using data from the AHRQ CAHPS Database. Rates include managed care population (12 MCOs).</t>
        </is>
      </c>
      <c r="I20" s="4" t="n">
        <v>0.584</v>
      </c>
      <c r="J20" s="4" t="n">
        <v>0.673</v>
      </c>
      <c r="K20" s="4" t="n">
        <v>0.789</v>
      </c>
      <c r="L20" s="4" t="n">
        <v>0.575</v>
      </c>
      <c r="M20" s="4" t="n">
        <v>0.636</v>
      </c>
      <c r="N20" s="4" t="n">
        <v>0.709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Cervical Cancer Screening: Ages 21 to 64 (CCS-AD)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Women Screened for Cervical Cancer: Ages 21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(62 MCOs). Rate was audited or validated.</t>
        </is>
      </c>
      <c r="H4" s="4" t="n">
        <v>0.5669999999999999</v>
      </c>
      <c r="I4" s="4" t="n">
        <v>0.522</v>
      </c>
      <c r="J4" s="4" t="n">
        <v>0.696</v>
      </c>
      <c r="K4" s="4" t="n">
        <v>0.298</v>
      </c>
      <c r="L4" s="4" t="n">
        <v>0.451</v>
      </c>
      <c r="M4" s="4" t="n">
        <v>0.588</v>
      </c>
    </row>
    <row r="5">
      <c r="A5" t="n">
        <v>2022</v>
      </c>
      <c r="B5" t="inlineStr">
        <is>
          <t>Medicaid</t>
        </is>
      </c>
      <c r="C5" t="inlineStr">
        <is>
          <t>Administrative</t>
        </is>
      </c>
      <c r="D5" t="inlineStr">
        <is>
          <t>Percentage of Women Screened for Cervical Cancer: Ages 21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(60 MCOs). Rate was audited or validated.</t>
        </is>
      </c>
      <c r="H5" s="4" t="n">
        <v>0.545</v>
      </c>
      <c r="I5" s="4" t="n">
        <v>0.514</v>
      </c>
      <c r="J5" s="4" t="n">
        <v>0.68</v>
      </c>
      <c r="K5" s="4" t="n">
        <v>0.313</v>
      </c>
      <c r="L5" s="4" t="n">
        <v>0.446</v>
      </c>
      <c r="M5" s="4" t="n">
        <v>0.583</v>
      </c>
    </row>
    <row r="6">
      <c r="A6" t="n">
        <v>2023</v>
      </c>
      <c r="B6" t="inlineStr">
        <is>
          <t>Medicaid</t>
        </is>
      </c>
      <c r="C6" t="inlineStr">
        <is>
          <t>Administrative</t>
        </is>
      </c>
      <c r="D6" t="inlineStr">
        <is>
          <t>Percentage of Women Screened for Cervical Cancer: Ages 21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(60 MCOs). Rate was audited or validated.</t>
        </is>
      </c>
      <c r="H6" s="4" t="n">
        <v>0.534</v>
      </c>
      <c r="I6" s="4" t="n">
        <v>0.523</v>
      </c>
      <c r="J6" s="4" t="n">
        <v>0.666</v>
      </c>
      <c r="K6" s="4" t="n">
        <v>0.248</v>
      </c>
      <c r="L6" s="4" t="n">
        <v>0.453</v>
      </c>
      <c r="M6" s="4" t="n">
        <v>0.584</v>
      </c>
    </row>
    <row r="7">
      <c r="A7" t="n">
        <v>2024</v>
      </c>
      <c r="B7" t="inlineStr">
        <is>
          <t>Medicaid (Title XIX)</t>
        </is>
      </c>
      <c r="C7" t="inlineStr">
        <is>
          <t>Administrative</t>
        </is>
      </c>
      <c r="D7" t="inlineStr">
        <is>
          <t>Percentage of Women Screened for Cervical Cancer: Ages 21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(58 MCOs). Rate was audited or validated.</t>
        </is>
      </c>
      <c r="H7" s="4" t="n">
        <v>0.538</v>
      </c>
      <c r="I7" s="4" t="n">
        <v>0.5</v>
      </c>
      <c r="J7" s="4" t="n">
        <v>0.661</v>
      </c>
      <c r="K7" s="4" t="n">
        <v>0.322</v>
      </c>
      <c r="L7" s="4" t="n">
        <v>0.424</v>
      </c>
      <c r="M7" s="4" t="n">
        <v>0.555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22" customWidth="1" min="1" max="1"/>
    <col width="13" customWidth="1" min="2" max="2"/>
    <col width="49"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Child and Adolescent Well-Care Visits: Ages 3 to 21 (WCV-CH)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12 to 17</t>
        </is>
      </c>
      <c r="B4" t="n">
        <v>2021</v>
      </c>
      <c r="C4" t="inlineStr">
        <is>
          <t>Medicaid &amp; CHIP</t>
        </is>
      </c>
      <c r="D4" t="inlineStr">
        <is>
          <t>Administrative</t>
        </is>
      </c>
      <c r="E4" t="inlineStr">
        <is>
          <t>Percentage with at Least 1 Well-Care Visit with a Primary Care Practitioner or Obstetrician/Gynecologist: Ages 12 to 17</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0.661</v>
      </c>
      <c r="J4" s="4" t="n">
        <v>0.453</v>
      </c>
      <c r="K4" s="4" t="n">
        <v>0.661</v>
      </c>
      <c r="L4" s="4" t="n">
        <v>0.191</v>
      </c>
      <c r="M4" s="4" t="n">
        <v>0.386</v>
      </c>
      <c r="N4" s="4" t="n">
        <v>0.538</v>
      </c>
    </row>
    <row r="5">
      <c r="A5" t="inlineStr">
        <is>
          <t>Ages 12 to 17</t>
        </is>
      </c>
      <c r="B5" t="n">
        <v>2022</v>
      </c>
      <c r="C5" t="inlineStr">
        <is>
          <t>Medicaid &amp; CHIP</t>
        </is>
      </c>
      <c r="D5" t="inlineStr">
        <is>
          <t>Administrative</t>
        </is>
      </c>
      <c r="E5" t="inlineStr">
        <is>
          <t>Percentage with at Least 1 Well-Care Visit with a Primary Care Practitioner or Obstetrician/Gynecologist: Ages 12 to 17</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Rates were audited or validated.</t>
        </is>
      </c>
      <c r="I5" s="4" t="n">
        <v>0.712</v>
      </c>
      <c r="J5" s="4" t="n">
        <v>0.49</v>
      </c>
      <c r="K5" s="4" t="n">
        <v>0.712</v>
      </c>
      <c r="L5" s="4" t="n">
        <v>0.3</v>
      </c>
      <c r="M5" s="4" t="n">
        <v>0.434</v>
      </c>
      <c r="N5" s="4" t="n">
        <v>0.554</v>
      </c>
    </row>
    <row r="6">
      <c r="A6" t="inlineStr">
        <is>
          <t>Ages 12 to 17</t>
        </is>
      </c>
      <c r="B6" t="n">
        <v>2023</v>
      </c>
      <c r="C6" t="inlineStr">
        <is>
          <t>Medicaid &amp; CHIP</t>
        </is>
      </c>
      <c r="D6" t="inlineStr">
        <is>
          <t>Administrative</t>
        </is>
      </c>
      <c r="E6" t="inlineStr">
        <is>
          <t>Percentage with at Least 1 Well-Care Visit with a Primary Care Practitioner or Obstetrician/Gynecologist: Ages 12 to 17</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0.696</v>
      </c>
      <c r="J6" s="4" t="n">
        <v>0.485</v>
      </c>
      <c r="K6" s="4" t="n">
        <v>0.696</v>
      </c>
      <c r="L6" s="4" t="n">
        <v>0.164</v>
      </c>
      <c r="M6" s="4" t="n">
        <v>0.414</v>
      </c>
      <c r="N6" s="4" t="n">
        <v>0.547</v>
      </c>
    </row>
    <row r="7">
      <c r="A7" t="inlineStr">
        <is>
          <t>Ages 12 to 17</t>
        </is>
      </c>
      <c r="B7" t="n">
        <v>2024</v>
      </c>
      <c r="C7" t="inlineStr">
        <is>
          <t>Medicaid (Title XIX), Separate CHIP (Title XXI)</t>
        </is>
      </c>
      <c r="D7" t="inlineStr">
        <is>
          <t>Administrative</t>
        </is>
      </c>
      <c r="E7" t="inlineStr">
        <is>
          <t>Percentage with at Least 1 Well-Care Visit with a Primary Care Practitioner or Obstetrician/Gynecologist: Ages 12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0.679</v>
      </c>
      <c r="J7" s="4" t="n">
        <v>0.499</v>
      </c>
      <c r="K7" s="4" t="n">
        <v>0.698</v>
      </c>
      <c r="L7" s="4" t="n">
        <v>0.165</v>
      </c>
      <c r="M7" s="4" t="n">
        <v>0.434</v>
      </c>
      <c r="N7" s="4" t="n">
        <v>0.5580000000000001</v>
      </c>
    </row>
    <row r="8">
      <c r="A8" t="inlineStr">
        <is>
          <t>Ages 12 to 17</t>
        </is>
      </c>
      <c r="B8" t="n">
        <v>2024</v>
      </c>
      <c r="C8" t="inlineStr">
        <is>
          <t>Medicaid (Title XIX)</t>
        </is>
      </c>
      <c r="D8" t="inlineStr">
        <is>
          <t>Administrative</t>
        </is>
      </c>
      <c r="E8" t="inlineStr">
        <is>
          <t>Percentage with at Least 1 Well-Care Visit with a Primary Care Practitioner or Obstetrician/Gynecologist: Ages 12 to 17</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0.665</v>
      </c>
      <c r="J8" s="4" t="n">
        <v>0.499</v>
      </c>
      <c r="K8" s="4" t="n">
        <v>0.698</v>
      </c>
      <c r="L8" s="4" t="n">
        <v>0.165</v>
      </c>
      <c r="M8" s="4" t="n">
        <v>0.434</v>
      </c>
      <c r="N8" s="4" t="n">
        <v>0.5580000000000001</v>
      </c>
    </row>
    <row r="9">
      <c r="A9" t="inlineStr">
        <is>
          <t>Ages 12 to 17</t>
        </is>
      </c>
      <c r="B9" t="n">
        <v>2024</v>
      </c>
      <c r="C9" t="inlineStr">
        <is>
          <t>Separate CHIP (Title XXI)</t>
        </is>
      </c>
      <c r="D9" t="inlineStr">
        <is>
          <t>Administrative</t>
        </is>
      </c>
      <c r="E9" t="inlineStr">
        <is>
          <t>Percentage with at Least 1 Well-Care Visit with a Primary Care Practitioner or Obstetrician/Gynecologist: Ages 12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0.73</v>
      </c>
      <c r="J9" s="4" t="n">
        <v>0.499</v>
      </c>
      <c r="K9" s="4" t="n">
        <v>0.698</v>
      </c>
      <c r="L9" s="4" t="n">
        <v>0.165</v>
      </c>
      <c r="M9" s="4" t="n">
        <v>0.434</v>
      </c>
      <c r="N9" s="4" t="n">
        <v>0.5580000000000001</v>
      </c>
    </row>
    <row r="10">
      <c r="A10" t="inlineStr">
        <is>
          <t>Ages 18 to 21</t>
        </is>
      </c>
      <c r="B10" t="n">
        <v>2021</v>
      </c>
      <c r="C10" t="inlineStr">
        <is>
          <t>Medicaid &amp; CHIP</t>
        </is>
      </c>
      <c r="D10" t="inlineStr">
        <is>
          <t>Administrative</t>
        </is>
      </c>
      <c r="E10" t="inlineStr">
        <is>
          <t>Percentage with at Least 1 Well-Care Visit with a Primary Care Practitioner or Obstetrician/Gynecologist: Ages 18 to 21</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Rates were audited or validated.</t>
        </is>
      </c>
      <c r="I10" s="4" t="n">
        <v>0.47</v>
      </c>
      <c r="J10" s="4" t="n">
        <v>0.239</v>
      </c>
      <c r="K10" s="4" t="n">
        <v>0.556</v>
      </c>
      <c r="L10" s="4" t="n">
        <v>0.065</v>
      </c>
      <c r="M10" s="4" t="n">
        <v>0.185</v>
      </c>
      <c r="N10" s="4" t="n">
        <v>0.317</v>
      </c>
    </row>
    <row r="11">
      <c r="A11" t="inlineStr">
        <is>
          <t>Ages 18 to 21</t>
        </is>
      </c>
      <c r="B11" t="n">
        <v>2022</v>
      </c>
      <c r="C11" t="inlineStr">
        <is>
          <t>Medicaid &amp; CHIP</t>
        </is>
      </c>
      <c r="D11" t="inlineStr">
        <is>
          <t>Administrative</t>
        </is>
      </c>
      <c r="E11" t="inlineStr">
        <is>
          <t>Percentage with at Least 1 Well-Care Visit with a Primary Care Practitioner or Obstetrician/Gynecologist: Ages 18 to 21</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Rates were audited or validated.</t>
        </is>
      </c>
      <c r="I11" s="4" t="n">
        <v>0.486</v>
      </c>
      <c r="J11" s="4" t="n">
        <v>0.225</v>
      </c>
      <c r="K11" s="4" t="n">
        <v>0.486</v>
      </c>
      <c r="L11" s="4" t="n">
        <v>0.091</v>
      </c>
      <c r="M11" s="4" t="n">
        <v>0.199</v>
      </c>
      <c r="N11" s="4" t="n">
        <v>0.304</v>
      </c>
    </row>
    <row r="12">
      <c r="A12" t="inlineStr">
        <is>
          <t>Ages 18 to 21</t>
        </is>
      </c>
      <c r="B12" t="n">
        <v>2023</v>
      </c>
      <c r="C12" t="inlineStr">
        <is>
          <t>Medicaid &amp; CHIP</t>
        </is>
      </c>
      <c r="D12" t="inlineStr">
        <is>
          <t>Administrative</t>
        </is>
      </c>
      <c r="E12" t="inlineStr">
        <is>
          <t>Percentage with at Least 1 Well-Care Visit with a Primary Care Practitioner or Obstetrician/Gynecologist: Ages 18 to 21</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Rates were audited or validated.</t>
        </is>
      </c>
      <c r="I12" s="4" t="n">
        <v>0.469</v>
      </c>
      <c r="J12" s="4" t="n">
        <v>0.224</v>
      </c>
      <c r="K12" s="4" t="n">
        <v>0.469</v>
      </c>
      <c r="L12" s="4" t="n">
        <v>0.073</v>
      </c>
      <c r="M12" s="4" t="n">
        <v>0.196</v>
      </c>
      <c r="N12" s="4" t="n">
        <v>0.289</v>
      </c>
    </row>
    <row r="13">
      <c r="A13" t="inlineStr">
        <is>
          <t>Ages 18 to 21</t>
        </is>
      </c>
      <c r="B13" t="n">
        <v>2024</v>
      </c>
      <c r="C13" t="inlineStr">
        <is>
          <t>Medicaid (Title XIX), Separate CHIP (Title XXI)</t>
        </is>
      </c>
      <c r="D13" t="inlineStr">
        <is>
          <t>Administrative</t>
        </is>
      </c>
      <c r="E13" t="inlineStr">
        <is>
          <t>Percentage with at Least 1 Well-Care Visit with a Primary Care Practitioner or Obstetrician/Gynecologist: Ages 18 to 21</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0.453</v>
      </c>
      <c r="J13" s="4" t="n">
        <v>0.256</v>
      </c>
      <c r="K13" s="4" t="n">
        <v>0.453</v>
      </c>
      <c r="L13" s="4" t="n">
        <v>0.08500000000000001</v>
      </c>
      <c r="M13" s="4" t="n">
        <v>0.21</v>
      </c>
      <c r="N13" s="4" t="n">
        <v>0.305</v>
      </c>
    </row>
    <row r="14">
      <c r="A14" t="inlineStr">
        <is>
          <t>Ages 18 to 21</t>
        </is>
      </c>
      <c r="B14" t="n">
        <v>2024</v>
      </c>
      <c r="C14" t="inlineStr">
        <is>
          <t>Medicaid (Title XIX)</t>
        </is>
      </c>
      <c r="D14" t="inlineStr">
        <is>
          <t>Administrative</t>
        </is>
      </c>
      <c r="E14" t="inlineStr">
        <is>
          <t>Percentage with at Least 1 Well-Care Visit with a Primary Care Practitioner or Obstetrician/Gynecologist: Ages 18 to 21</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(15 MCOs). The state described the "other" data sources used to calculate the measure as the following: "Health Plan Billing Data." Rates were audited or validated.</t>
        </is>
      </c>
      <c r="I14" s="4" t="n">
        <v>0.444</v>
      </c>
      <c r="J14" s="4" t="n">
        <v>0.256</v>
      </c>
      <c r="K14" s="4" t="n">
        <v>0.453</v>
      </c>
      <c r="L14" s="4" t="n">
        <v>0.08500000000000001</v>
      </c>
      <c r="M14" s="4" t="n">
        <v>0.21</v>
      </c>
      <c r="N14" s="4" t="n">
        <v>0.305</v>
      </c>
    </row>
    <row r="15">
      <c r="A15" t="inlineStr">
        <is>
          <t>Ages 18 to 21</t>
        </is>
      </c>
      <c r="B15" t="n">
        <v>2024</v>
      </c>
      <c r="C15" t="inlineStr">
        <is>
          <t>Separate CHIP (Title XXI)</t>
        </is>
      </c>
      <c r="D15" t="inlineStr">
        <is>
          <t>Administrative</t>
        </is>
      </c>
      <c r="E15" t="inlineStr">
        <is>
          <t>Percentage with at Least 1 Well-Care Visit with a Primary Care Practitioner or Obstetrician/Gynecologist: Ages 18 to 21</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Data." Rates were audited or validated.</t>
        </is>
      </c>
      <c r="I15" s="4" t="n">
        <v>0.573</v>
      </c>
      <c r="J15" s="4" t="n">
        <v>0.256</v>
      </c>
      <c r="K15" s="4" t="n">
        <v>0.453</v>
      </c>
      <c r="L15" s="4" t="n">
        <v>0.08500000000000001</v>
      </c>
      <c r="M15" s="4" t="n">
        <v>0.21</v>
      </c>
      <c r="N15" s="4" t="n">
        <v>0.305</v>
      </c>
    </row>
    <row r="16">
      <c r="A16" t="inlineStr">
        <is>
          <t>Ages 3 to 11</t>
        </is>
      </c>
      <c r="B16" t="n">
        <v>2021</v>
      </c>
      <c r="C16" t="inlineStr">
        <is>
          <t>Medicaid &amp; CHIP</t>
        </is>
      </c>
      <c r="D16" t="inlineStr">
        <is>
          <t>Administrative</t>
        </is>
      </c>
      <c r="E16" t="inlineStr">
        <is>
          <t>Percentage with at Least 1 Well-Care Visit with a Primary Care Practitioner or Obstetrician/Gynecologist: Ages 3 to 11</t>
        </is>
      </c>
      <c r="F16" t="inlineStr">
        <is>
          <t>Higher values are better</t>
        </is>
      </c>
      <c r="G16" t="inlineStr">
        <is>
          <t>Mathematica analysis of the Quality Measure Reporting (QMR) system reports for the FFY 2021 reporting cycle as of June 1, 2023.</t>
        </is>
      </c>
      <c r="H16" t="inlineStr">
        <is>
          <t>State-specific comments: Rates include managed care population (16 MCOs). The state described the "other" data sources used to calculate the measure as the following: "Health Plan Billing Data." Rates were audited or validated.</t>
        </is>
      </c>
      <c r="I16" s="4" t="n">
        <v>0.719</v>
      </c>
      <c r="J16" s="4" t="n">
        <v>0.511</v>
      </c>
      <c r="K16" s="4" t="n">
        <v>0.719</v>
      </c>
      <c r="L16" s="4" t="n">
        <v>0.24</v>
      </c>
      <c r="M16" s="4" t="n">
        <v>0.461</v>
      </c>
      <c r="N16" s="4" t="n">
        <v>0.598</v>
      </c>
    </row>
    <row r="17">
      <c r="A17" t="inlineStr">
        <is>
          <t>Ages 3 to 11</t>
        </is>
      </c>
      <c r="B17" t="n">
        <v>2022</v>
      </c>
      <c r="C17" t="inlineStr">
        <is>
          <t>Medicaid &amp; CHIP</t>
        </is>
      </c>
      <c r="D17" t="inlineStr">
        <is>
          <t>Administrative</t>
        </is>
      </c>
      <c r="E17" t="inlineStr">
        <is>
          <t>Percentage with at Least 1 Well-Care Visit with a Primary Care Practitioner or Obstetrician/Gynecologist: Ages 3 to 11</t>
        </is>
      </c>
      <c r="F17" t="inlineStr">
        <is>
          <t>Higher values are better</t>
        </is>
      </c>
      <c r="G17" t="inlineStr">
        <is>
          <t>Mathematica analysis of the Quality Measure Reporting (QMR) system reports for the FFY 2022 reporting cycle as of June 1, 2023.</t>
        </is>
      </c>
      <c r="H17" t="inlineStr">
        <is>
          <t>State-specific comments: Rates include managed care population (16 MCOs). The state described the "other" data sources used to calculate the measure as the following: "Health Plan Billing Data." Rates were audited or validated.</t>
        </is>
      </c>
      <c r="I17" s="4" t="n">
        <v>0.762</v>
      </c>
      <c r="J17" s="4" t="n">
        <v>0.542</v>
      </c>
      <c r="K17" s="4" t="n">
        <v>0.762</v>
      </c>
      <c r="L17" s="4" t="n">
        <v>0.311</v>
      </c>
      <c r="M17" s="4" t="n">
        <v>0.498</v>
      </c>
      <c r="N17" s="4" t="n">
        <v>0.607</v>
      </c>
    </row>
    <row r="18">
      <c r="A18" t="inlineStr">
        <is>
          <t>Ages 3 to 11</t>
        </is>
      </c>
      <c r="B18" t="n">
        <v>2023</v>
      </c>
      <c r="C18" t="inlineStr">
        <is>
          <t>Medicaid &amp; CHIP</t>
        </is>
      </c>
      <c r="D18" t="inlineStr">
        <is>
          <t>Administrative</t>
        </is>
      </c>
      <c r="E18" t="inlineStr">
        <is>
          <t>Percentage with at Least 1 Well-Care Visit with a Primary Care Practitioner or Obstetrician/Gynecologist: Ages 3 to 11</t>
        </is>
      </c>
      <c r="F18" t="inlineStr">
        <is>
          <t>Higher values are better</t>
        </is>
      </c>
      <c r="G18" t="inlineStr">
        <is>
          <t>Mathematica analysis of the Quality Measure Reporting (QMR) system reports for the 2023 Core Set as of May 16, 2024.</t>
        </is>
      </c>
      <c r="H18" t="inlineStr">
        <is>
          <t>State-specific comments: Rates include managed care population (15 MCOs). The state described the "other" data sources used to calculate the measure as the following: "Health Plan Billing Data." Rates were audited or validated.</t>
        </is>
      </c>
      <c r="I18" s="4" t="n">
        <v>0.756</v>
      </c>
      <c r="J18" s="4" t="n">
        <v>0.533</v>
      </c>
      <c r="K18" s="4" t="n">
        <v>0.756</v>
      </c>
      <c r="L18" s="4" t="n">
        <v>0.203</v>
      </c>
      <c r="M18" s="4" t="n">
        <v>0.5</v>
      </c>
      <c r="N18" s="4" t="n">
        <v>0.604</v>
      </c>
    </row>
    <row r="19">
      <c r="A19" t="inlineStr">
        <is>
          <t>Ages 3 to 11</t>
        </is>
      </c>
      <c r="B19" t="n">
        <v>2024</v>
      </c>
      <c r="C19" t="inlineStr">
        <is>
          <t>Medicaid (Title XIX), Separate CHIP (Title XXI)</t>
        </is>
      </c>
      <c r="D19" t="inlineStr">
        <is>
          <t>Administrative</t>
        </is>
      </c>
      <c r="E19" t="inlineStr">
        <is>
          <t>Percentage with at Least 1 Well-Care Visit with a Primary Care Practitioner or Obstetrician/Gynecologist: Ages 3 to 11</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0.736</v>
      </c>
      <c r="J19" s="4" t="n">
        <v>0.5639999999999999</v>
      </c>
      <c r="K19" s="4" t="n">
        <v>0.736</v>
      </c>
      <c r="L19" s="4" t="n">
        <v>0.205</v>
      </c>
      <c r="M19" s="4" t="n">
        <v>0.52</v>
      </c>
      <c r="N19" s="4" t="n">
        <v>0.612</v>
      </c>
    </row>
    <row r="20">
      <c r="A20" t="inlineStr">
        <is>
          <t>Ages 3 to 11</t>
        </is>
      </c>
      <c r="B20" t="n">
        <v>2024</v>
      </c>
      <c r="C20" t="inlineStr">
        <is>
          <t>Medicaid (Title XIX)</t>
        </is>
      </c>
      <c r="D20" t="inlineStr">
        <is>
          <t>Administrative</t>
        </is>
      </c>
      <c r="E20" t="inlineStr">
        <is>
          <t>Percentage with at Least 1 Well-Care Visit with a Primary Care Practitioner or Obstetrician/Gynecologist: Ages 3 to 11</t>
        </is>
      </c>
      <c r="F20" t="inlineStr">
        <is>
          <t>Higher values are better</t>
        </is>
      </c>
      <c r="G20" t="inlineStr">
        <is>
          <t>Mathematica analysis of the Quality Measure Reporting (QMR) system reports for the 2024 Core Set as of April 28, 2025.</t>
        </is>
      </c>
      <c r="H20" t="inlineStr">
        <is>
          <t>State-specific comments: Medicaid rates include FFS and managed care populations (15 MCOs). The state described the "other" data sources used to calculate the measure as the following: "Health Plan Billing Data." Rates were audited or validated.</t>
        </is>
      </c>
      <c r="I20" s="4" t="n">
        <v>0.726</v>
      </c>
      <c r="J20" s="4" t="n">
        <v>0.5639999999999999</v>
      </c>
      <c r="K20" s="4" t="n">
        <v>0.736</v>
      </c>
      <c r="L20" s="4" t="n">
        <v>0.205</v>
      </c>
      <c r="M20" s="4" t="n">
        <v>0.52</v>
      </c>
      <c r="N20" s="4" t="n">
        <v>0.612</v>
      </c>
    </row>
    <row r="21">
      <c r="A21" t="inlineStr">
        <is>
          <t>Ages 3 to 11</t>
        </is>
      </c>
      <c r="B21" t="n">
        <v>2024</v>
      </c>
      <c r="C21" t="inlineStr">
        <is>
          <t>Separate CHIP (Title XXI)</t>
        </is>
      </c>
      <c r="D21" t="inlineStr">
        <is>
          <t>Administrative</t>
        </is>
      </c>
      <c r="E21" t="inlineStr">
        <is>
          <t>Percentage with at Least 1 Well-Care Visit with a Primary Care Practitioner or Obstetrician/Gynecologist: Ages 3 to 11</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(12 MCOs). The state described the "other" data sources used to calculate the measure as the following: "Health Plan Billing Data." Rates were audited or validated.</t>
        </is>
      </c>
      <c r="I21" s="4" t="n">
        <v>0.782</v>
      </c>
      <c r="J21" s="4" t="n">
        <v>0.5639999999999999</v>
      </c>
      <c r="K21" s="4" t="n">
        <v>0.736</v>
      </c>
      <c r="L21" s="4" t="n">
        <v>0.205</v>
      </c>
      <c r="M21" s="4" t="n">
        <v>0.52</v>
      </c>
      <c r="N21" s="4" t="n">
        <v>0.612</v>
      </c>
    </row>
    <row r="22">
      <c r="A22" t="inlineStr">
        <is>
          <t>Total (Ages 3 to 21)</t>
        </is>
      </c>
      <c r="B22" t="n">
        <v>2021</v>
      </c>
      <c r="C22" t="inlineStr">
        <is>
          <t>Medicaid &amp; CHIP</t>
        </is>
      </c>
      <c r="D22" t="inlineStr">
        <is>
          <t>Administrative</t>
        </is>
      </c>
      <c r="E22" t="inlineStr">
        <is>
          <t>Percentage with at Least 1 Well-Care Visit with a Primary Care Practitioner or Obstetrician/Gynecologist: Ages 3 to 21</t>
        </is>
      </c>
      <c r="F22" t="inlineStr">
        <is>
          <t>Higher values are better</t>
        </is>
      </c>
      <c r="G22" t="inlineStr">
        <is>
          <t>Mathematica analysis of the Quality Measure Reporting (QMR) system reports for the FFY 2021 reporting cycle as of June 1, 2023.</t>
        </is>
      </c>
      <c r="H22" t="inlineStr">
        <is>
          <t>State-specific comments: Rates include managed care population (16 MCOs). The state described the "other" data sources used to calculate the measure as the following: "Health Plan Billing Data." Rates were audited or validated.</t>
        </is>
      </c>
      <c r="I22" s="4" t="n">
        <v>0.659</v>
      </c>
      <c r="J22" s="4" t="n">
        <v>0.455</v>
      </c>
      <c r="K22" s="4" t="n">
        <v>0.659</v>
      </c>
      <c r="L22" s="4" t="n">
        <v>0.2</v>
      </c>
      <c r="M22" s="4" t="n">
        <v>0.395</v>
      </c>
      <c r="N22" s="4" t="n">
        <v>0.535</v>
      </c>
    </row>
    <row r="23">
      <c r="A23" t="inlineStr">
        <is>
          <t>Total (Ages 3 to 21)</t>
        </is>
      </c>
      <c r="B23" t="n">
        <v>2022</v>
      </c>
      <c r="C23" t="inlineStr">
        <is>
          <t>Medicaid &amp; CHIP</t>
        </is>
      </c>
      <c r="D23" t="inlineStr">
        <is>
          <t>Administrative</t>
        </is>
      </c>
      <c r="E23" t="inlineStr">
        <is>
          <t>Percentage with at Least 1 Well-Care Visit with a Primary Care Practitioner or Obstetrician/Gynecologist: Ages 3 to 21</t>
        </is>
      </c>
      <c r="F23" t="inlineStr">
        <is>
          <t>Higher values are better</t>
        </is>
      </c>
      <c r="G23" t="inlineStr">
        <is>
          <t>Mathematica analysis of the Quality Measure Reporting (QMR) system reports for the FFY 2022 reporting cycle as of June 1, 2023.</t>
        </is>
      </c>
      <c r="H23" t="inlineStr">
        <is>
          <t>State-specific comments: Rates include managed care population (16 MCOs). The state described the "other" data sources used to calculate the measure as the following: "Health Plan Billing Data." Rates were audited or validated.</t>
        </is>
      </c>
      <c r="I23" s="4" t="n">
        <v>0.697</v>
      </c>
      <c r="J23" s="4" t="n">
        <v>0.476</v>
      </c>
      <c r="K23" s="4" t="n">
        <v>0.697</v>
      </c>
      <c r="L23" s="4" t="n">
        <v>0.271</v>
      </c>
      <c r="M23" s="4" t="n">
        <v>0.426</v>
      </c>
      <c r="N23" s="4" t="n">
        <v>0.545</v>
      </c>
    </row>
    <row r="24">
      <c r="A24" t="inlineStr">
        <is>
          <t>Total (Ages 3 to 21)</t>
        </is>
      </c>
      <c r="B24" t="n">
        <v>2023</v>
      </c>
      <c r="C24" t="inlineStr">
        <is>
          <t>Medicaid &amp; CHIP</t>
        </is>
      </c>
      <c r="D24" t="inlineStr">
        <is>
          <t>Administrative</t>
        </is>
      </c>
      <c r="E24" t="inlineStr">
        <is>
          <t>Percentage with at Least 1 Well-Care Visit with a Primary Care Practitioner or Obstetrician/Gynecologist: Ages 3 to 21</t>
        </is>
      </c>
      <c r="F24" t="inlineStr">
        <is>
          <t>Higher values are better</t>
        </is>
      </c>
      <c r="G24" t="inlineStr">
        <is>
          <t>Mathematica analysis of the Quality Measure Reporting (QMR) system reports for the 2023 Core Set as of May 16, 2024.</t>
        </is>
      </c>
      <c r="H24" t="inlineStr">
        <is>
          <t>State-specific comments: Rates include managed care population (15 MCOs). The state described the "other" data sources used to calculate the measure as the following: "Health Plan Billing Data." Rates were audited or validated.</t>
        </is>
      </c>
      <c r="I24" s="4" t="n">
        <v>0.6850000000000001</v>
      </c>
      <c r="J24" s="4" t="n">
        <v>0.453</v>
      </c>
      <c r="K24" s="4" t="n">
        <v>0.6850000000000001</v>
      </c>
      <c r="L24" s="4" t="n">
        <v>0.165</v>
      </c>
      <c r="M24" s="4" t="n">
        <v>0.428</v>
      </c>
      <c r="N24" s="4" t="n">
        <v>0.532</v>
      </c>
    </row>
    <row r="25">
      <c r="A25" t="inlineStr">
        <is>
          <t>Total (Ages 3 to 21)</t>
        </is>
      </c>
      <c r="B25" t="n">
        <v>2024</v>
      </c>
      <c r="C25" t="inlineStr">
        <is>
          <t>Medicaid (Title XIX), Separate CHIP (Title XXI)</t>
        </is>
      </c>
      <c r="D25" t="inlineStr">
        <is>
          <t>Administrative</t>
        </is>
      </c>
      <c r="E25" t="inlineStr">
        <is>
          <t>Percentage with at Least 1 Well-Care Visit with a Primary Care Practitioner or Obstetrician/Gynecologist: Ages 3 to 21</t>
        </is>
      </c>
      <c r="F25" t="inlineStr">
        <is>
          <t>Higher values are better</t>
        </is>
      </c>
      <c r="G25" t="inlineStr">
        <is>
          <t>Mathematica analysis of the Quality Measure Reporting (QMR) system reports for the 2024 Core Set as of April 28, 2025.</t>
        </is>
      </c>
      <c r="H25" t="inlineStr">
        <is>
          <t>State-specific comments: Rate combines the Medicaid and separate CHIP data reported by the state in the QMR system. See Medicaid and separate CHIP state-specific comments for information about the data reported for each population.</t>
        </is>
      </c>
      <c r="I25" s="4" t="n">
        <v>0.666</v>
      </c>
      <c r="J25" s="4" t="n">
        <v>0.492</v>
      </c>
      <c r="K25" s="4" t="n">
        <v>0.669</v>
      </c>
      <c r="L25" s="4" t="n">
        <v>0.173</v>
      </c>
      <c r="M25" s="4" t="n">
        <v>0.439</v>
      </c>
      <c r="N25" s="4" t="n">
        <v>0.544</v>
      </c>
    </row>
    <row r="26">
      <c r="A26" t="inlineStr">
        <is>
          <t>Total (Ages 3 to 21)</t>
        </is>
      </c>
      <c r="B26" t="n">
        <v>2024</v>
      </c>
      <c r="C26" t="inlineStr">
        <is>
          <t>Medicaid (Title XIX)</t>
        </is>
      </c>
      <c r="D26" t="inlineStr">
        <is>
          <t>Administrative</t>
        </is>
      </c>
      <c r="E26" t="inlineStr">
        <is>
          <t>Percentage with at Least 1 Well-Care Visit with a Primary Care Practitioner or Obstetrician/Gynecologist: Ages 3 to 21</t>
        </is>
      </c>
      <c r="F26" t="inlineStr">
        <is>
          <t>Higher values are better</t>
        </is>
      </c>
      <c r="G26" t="inlineStr">
        <is>
          <t>Mathematica analysis of the Quality Measure Reporting (QMR) system reports for the 2024 Core Set as of April 28, 2025.</t>
        </is>
      </c>
      <c r="H26" t="inlineStr">
        <is>
          <t>State-specific comments: Medicaid rates include FFS and managed care populations (15 MCOs). The state described the "other" data sources used to calculate the measure as the following: "Health Plan Billing Data." Rates were audited or validated.</t>
        </is>
      </c>
      <c r="I26" s="4" t="n">
        <v>0.649</v>
      </c>
      <c r="J26" s="4" t="n">
        <v>0.492</v>
      </c>
      <c r="K26" s="4" t="n">
        <v>0.669</v>
      </c>
      <c r="L26" s="4" t="n">
        <v>0.173</v>
      </c>
      <c r="M26" s="4" t="n">
        <v>0.439</v>
      </c>
      <c r="N26" s="4" t="n">
        <v>0.544</v>
      </c>
    </row>
    <row r="27">
      <c r="A27" t="inlineStr">
        <is>
          <t>Total (Ages 3 to 21)</t>
        </is>
      </c>
      <c r="B27" t="n">
        <v>2024</v>
      </c>
      <c r="C27" t="inlineStr">
        <is>
          <t>Separate CHIP (Title XXI)</t>
        </is>
      </c>
      <c r="D27" t="inlineStr">
        <is>
          <t>Administrative</t>
        </is>
      </c>
      <c r="E27" t="inlineStr">
        <is>
          <t>Percentage with at Least 1 Well-Care Visit with a Primary Care Practitioner or Obstetrician/Gynecologist: Ages 3 to 21</t>
        </is>
      </c>
      <c r="F27" t="inlineStr">
        <is>
          <t>Higher values are better</t>
        </is>
      </c>
      <c r="G27" t="inlineStr">
        <is>
          <t>Mathematica analysis of the Quality Measure Reporting (QMR) system reports for the 2024 Core Set as of April 28, 2025.</t>
        </is>
      </c>
      <c r="H27" t="inlineStr">
        <is>
          <t>State-specific comments: Separate CHIP rates include managed care population (12 MCOs). The state described the "other" data sources used to calculate the measure as the following: "Health Plan Billing Data." Rates were audited or validated.</t>
        </is>
      </c>
      <c r="I27" s="4" t="n">
        <v>0.746</v>
      </c>
      <c r="J27" s="4" t="n">
        <v>0.492</v>
      </c>
      <c r="K27" s="4" t="n">
        <v>0.669</v>
      </c>
      <c r="L27" s="4" t="n">
        <v>0.173</v>
      </c>
      <c r="M27" s="4" t="n">
        <v>0.439</v>
      </c>
      <c r="N27" s="4" t="n">
        <v>0.544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9" customWidth="1" min="1" max="1"/>
    <col width="13" customWidth="1" min="2" max="2"/>
    <col width="60" customWidth="1" min="3" max="3"/>
    <col width="58" customWidth="1" min="4" max="4"/>
    <col width="60"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Childhood Immunization Status: Age 2 (CIS-CH)</t>
        </is>
      </c>
    </row>
    <row r="2"/>
    <row r="3">
      <c r="A3" s="1" t="inlineStr">
        <is>
          <t>Immunization Type</t>
        </is>
      </c>
      <c r="B3" s="1" t="inlineStr">
        <is>
          <t>Data Period</t>
        </is>
      </c>
      <c r="C3" s="1" t="inlineStr">
        <is>
          <t>Population</t>
        </is>
      </c>
      <c r="D3" s="1" t="inlineStr">
        <is>
          <t>Methodology</t>
        </is>
      </c>
      <c r="E3" s="1" t="inlineStr">
        <is>
          <t>Value Type</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inlineStr">
        <is>
          <t>Combination 10</t>
        </is>
      </c>
      <c r="B4" t="n">
        <v>2021</v>
      </c>
      <c r="C4" t="inlineStr">
        <is>
          <t>Medicaid &amp; CHIP</t>
        </is>
      </c>
      <c r="D4" t="inlineStr">
        <is>
          <t>Hybrid</t>
        </is>
      </c>
      <c r="E4" t="inlineStr">
        <is>
          <t>Percentage Up to Date on Recommended Immunizations (Combination 10) by their Second Birthday</t>
        </is>
      </c>
      <c r="F4" t="inlineStr">
        <is>
          <t>Mathematica analysis of the Quality Measure Reporting (QMR) system reports for the FFY 2021 reporting cycle as of June 1, 2023.</t>
        </is>
      </c>
      <c r="G4" t="inlineStr">
        <is>
          <t>State-specific comments: Rates include managed care population (16 MCOs). The state described the "other" data sources used to calculate the measure as the following: "Health Plan Billing Data." Denominator is the sample size; measure-eligible population is 88,072. Rates were audited or validated.</t>
        </is>
      </c>
      <c r="H4" s="4" t="n">
        <v>0.475</v>
      </c>
      <c r="I4" s="4" t="n">
        <v>0.357</v>
      </c>
      <c r="J4" s="4" t="n">
        <v>0.62</v>
      </c>
      <c r="K4" s="4" t="n">
        <v>0.016</v>
      </c>
      <c r="L4" s="4" t="n">
        <v>0.317</v>
      </c>
      <c r="M4" s="4" t="n">
        <v>0.426</v>
      </c>
    </row>
    <row r="5">
      <c r="A5" t="inlineStr">
        <is>
          <t>Combination 10</t>
        </is>
      </c>
      <c r="B5" t="n">
        <v>2022</v>
      </c>
      <c r="C5" t="inlineStr">
        <is>
          <t>Medicaid &amp; CHIP</t>
        </is>
      </c>
      <c r="D5" t="inlineStr">
        <is>
          <t>Hybrid</t>
        </is>
      </c>
      <c r="E5" t="inlineStr">
        <is>
          <t>Percentage Up to Date on Recommended Immunizations (Combination 10) by their Second Birthday</t>
        </is>
      </c>
      <c r="F5" t="inlineStr">
        <is>
          <t>Mathematica analysis of the Quality Measure Reporting (QMR) system reports for the FFY 2022 reporting cycle as of June 1, 2023.</t>
        </is>
      </c>
      <c r="G5" t="inlineStr">
        <is>
          <t>State-specific comments: Rates include managed care population (16 MCOs). The state described the "other" data sources used to calculate the measure as the following: "Health Plan Billing Data." Denominator is the sample size; measure-eligible population is 113,958. Rates were audited or validated.</t>
        </is>
      </c>
      <c r="H5" s="4" t="n">
        <v>0.42</v>
      </c>
      <c r="I5" s="4" t="n">
        <v>0.329</v>
      </c>
      <c r="J5" s="4" t="n">
        <v>0.615</v>
      </c>
      <c r="K5" s="4" t="n">
        <v>0.002</v>
      </c>
      <c r="L5" s="4" t="n">
        <v>0.269</v>
      </c>
      <c r="M5" s="4" t="n">
        <v>0.392</v>
      </c>
    </row>
    <row r="6">
      <c r="A6" t="inlineStr">
        <is>
          <t>Combination 10</t>
        </is>
      </c>
      <c r="B6" t="n">
        <v>2023</v>
      </c>
      <c r="C6" t="inlineStr">
        <is>
          <t>Medicaid &amp; CHIP</t>
        </is>
      </c>
      <c r="D6" t="inlineStr">
        <is>
          <t>Hybrid</t>
        </is>
      </c>
      <c r="E6" t="inlineStr">
        <is>
          <t>Percentage Up to Date on Recommended Immunizations (Combination 10) by their Second Birthday</t>
        </is>
      </c>
      <c r="F6" t="inlineStr">
        <is>
          <t>Mathematica analysis of the Quality Measure Reporting (QMR) system reports for the 2023 Core Set as of May 16, 2024.</t>
        </is>
      </c>
      <c r="G6" t="inlineStr">
        <is>
          <t>State-specific comments: Rates include managed care population (15 MCOs). The state described the "other" data sources used to calculate the measure as the following: "Health Plan Billing Data." Denominator is the sample size; measure-eligible population is 109,616. Rates were audited or validated.</t>
        </is>
      </c>
      <c r="H6" s="4" t="n">
        <v>0.392</v>
      </c>
      <c r="I6" s="4" t="n">
        <v>0.286</v>
      </c>
      <c r="J6" s="4" t="n">
        <v>0.579</v>
      </c>
      <c r="K6" s="4" t="n">
        <v>0.002</v>
      </c>
      <c r="L6" s="4" t="n">
        <v>0.242</v>
      </c>
      <c r="M6" s="4" t="n">
        <v>0.361</v>
      </c>
    </row>
    <row r="7">
      <c r="A7" t="inlineStr">
        <is>
          <t>Combination 10</t>
        </is>
      </c>
      <c r="B7" t="n">
        <v>2024</v>
      </c>
      <c r="C7" t="inlineStr">
        <is>
          <t>Medicaid (Title XIX), Title XXI-funded Medicaid Expansion CHIP</t>
        </is>
      </c>
      <c r="D7" t="inlineStr">
        <is>
          <t>Administrative &amp; Electronic Clinical Data Systems (ECDS)</t>
        </is>
      </c>
      <c r="E7" t="inlineStr">
        <is>
          <t>Percentage Up to Date on Recommended Immunizations (Combination 10) by their Second Birthday</t>
        </is>
      </c>
      <c r="F7" t="inlineStr">
        <is>
          <t>Mathematica analysis of the Quality Measure Reporting (QMR) system reports for the 2024 Core Set as of April 28, 2025.</t>
        </is>
      </c>
      <c r="G7"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administrative/ECDS data and produces a lower rate potentially due to the limitations of the data source. Combining the fee-for-service administrative rate and the managed care administrative/ECDS rate has lowered rates compared to previous years when the state only reported the managed care rate."</t>
        </is>
      </c>
      <c r="H7" s="4" t="n">
        <v>0.259</v>
      </c>
      <c r="I7" s="4" t="n">
        <v>0.236</v>
      </c>
      <c r="J7" s="4" t="n">
        <v>0.53</v>
      </c>
      <c r="K7" s="4" t="n">
        <v>0.034</v>
      </c>
      <c r="L7" s="4" t="n">
        <v>0.178</v>
      </c>
      <c r="M7" s="4" t="n">
        <v>0.297</v>
      </c>
    </row>
    <row r="8">
      <c r="A8" t="inlineStr">
        <is>
          <t>Combination 10</t>
        </is>
      </c>
      <c r="B8" t="n">
        <v>2024</v>
      </c>
      <c r="C8" t="inlineStr">
        <is>
          <t>Separate CHIP (Title XXI)</t>
        </is>
      </c>
      <c r="D8" t="inlineStr">
        <is>
          <t>Electronic Clinical Data Systems (ECDS)</t>
        </is>
      </c>
      <c r="E8" t="inlineStr">
        <is>
          <t>Percentage Up to Date on Recommended Immunizations (Combination 10) by their Second Birthday</t>
        </is>
      </c>
      <c r="F8" t="inlineStr">
        <is>
          <t>Mathematica analysis of the Quality Measure Reporting (QMR) system reports for the 2024 Core Set as of April 28, 2025.</t>
        </is>
      </c>
      <c r="G8" t="inlineStr">
        <is>
          <t>State-specific comments: Separate CHIP rates include managed care population (12 MCOs). Rates were audited or validated.</t>
        </is>
      </c>
      <c r="H8" s="4" t="n">
        <v>0.355</v>
      </c>
      <c r="I8" s="4" t="n">
        <v>0.236</v>
      </c>
      <c r="J8" s="4" t="n">
        <v>0.53</v>
      </c>
      <c r="K8" s="4" t="n">
        <v>0.034</v>
      </c>
      <c r="L8" s="4" t="n">
        <v>0.178</v>
      </c>
      <c r="M8" s="4" t="n">
        <v>0.297</v>
      </c>
    </row>
    <row r="9">
      <c r="A9" t="inlineStr">
        <is>
          <t>Combination 3</t>
        </is>
      </c>
      <c r="B9" t="n">
        <v>2021</v>
      </c>
      <c r="C9" t="inlineStr">
        <is>
          <t>Medicaid &amp; CHIP</t>
        </is>
      </c>
      <c r="D9" t="inlineStr">
        <is>
          <t>Hybrid</t>
        </is>
      </c>
      <c r="E9" t="inlineStr">
        <is>
          <t>Percentage Up to Date on Recommended Immunizations (Combination 3) by their Second Birthday</t>
        </is>
      </c>
      <c r="F9" t="inlineStr">
        <is>
          <t>Mathematica analysis of the Quality Measure Reporting (QMR) system reports for the FFY 2021 reporting cycle as of June 1, 2023.</t>
        </is>
      </c>
      <c r="G9" t="inlineStr">
        <is>
          <t>State-specific comments: Rates include managed care population (16 MCOs). The state described the "other" data sources used to calculate the measure as the following: "Health Plan Billing Data." Denominator is the sample size; measure-eligible population is 88,072. Rates were audited or validated.</t>
        </is>
      </c>
      <c r="H9" s="4" t="n">
        <v>0.724</v>
      </c>
      <c r="I9" s="4" t="n">
        <v>0.669</v>
      </c>
      <c r="J9" s="4" t="n">
        <v>0.8</v>
      </c>
      <c r="K9" s="4" t="n">
        <v>0.076</v>
      </c>
      <c r="L9" s="4" t="n">
        <v>0.62</v>
      </c>
      <c r="M9" s="4" t="n">
        <v>0.704</v>
      </c>
    </row>
    <row r="10">
      <c r="A10" t="inlineStr">
        <is>
          <t>Combination 3</t>
        </is>
      </c>
      <c r="B10" t="n">
        <v>2022</v>
      </c>
      <c r="C10" t="inlineStr">
        <is>
          <t>Medicaid &amp; CHIP</t>
        </is>
      </c>
      <c r="D10" t="inlineStr">
        <is>
          <t>Hybrid</t>
        </is>
      </c>
      <c r="E10" t="inlineStr">
        <is>
          <t>Percentage Up to Date on Recommended Immunizations (Combination 3) by their Second Birthday</t>
        </is>
      </c>
      <c r="F10" t="inlineStr">
        <is>
          <t>Mathematica analysis of the Quality Measure Reporting (QMR) system reports for the FFY 2022 reporting cycle as of June 1, 2023.</t>
        </is>
      </c>
      <c r="G10" t="inlineStr">
        <is>
          <t>State-specific comments: Rates include managed care population (16 MCOs). The state described the "other" data sources used to calculate the measure as the following: "Health Plan Billing Data." Denominator is the sample size; measure-eligible population is 113,958. Rates were audited or validated.</t>
        </is>
      </c>
      <c r="H10" s="4" t="n">
        <v>0.667</v>
      </c>
      <c r="I10" s="4" t="n">
        <v>0.615</v>
      </c>
      <c r="J10" s="4" t="n">
        <v>0.763</v>
      </c>
      <c r="K10" s="4" t="n">
        <v>0.023</v>
      </c>
      <c r="L10" s="4" t="n">
        <v>0.5639999999999999</v>
      </c>
      <c r="M10" s="4" t="n">
        <v>0.676</v>
      </c>
    </row>
    <row r="11">
      <c r="A11" t="inlineStr">
        <is>
          <t>Combination 3</t>
        </is>
      </c>
      <c r="B11" t="n">
        <v>2023</v>
      </c>
      <c r="C11" t="inlineStr">
        <is>
          <t>Medicaid &amp; CHIP</t>
        </is>
      </c>
      <c r="D11" t="inlineStr">
        <is>
          <t>Hybrid</t>
        </is>
      </c>
      <c r="E11" t="inlineStr">
        <is>
          <t>Percentage Up to Date on Recommended Immunizations (Combination 3) by their Second Birthday</t>
        </is>
      </c>
      <c r="F11" t="inlineStr">
        <is>
          <t>Mathematica analysis of the Quality Measure Reporting (QMR) system reports for the 2023 Core Set as of May 16, 2024.</t>
        </is>
      </c>
      <c r="G11" t="inlineStr">
        <is>
          <t>State-specific comments: Rates include managed care population (15 MCOs). The state described the "other" data sources used to calculate the measure as the following: "Health Plan Billing Data." Denominator is the sample size; measure-eligible population is 109,616. Rates were audited or validated.</t>
        </is>
      </c>
      <c r="H11" s="4" t="n">
        <v>0.6860000000000001</v>
      </c>
      <c r="I11" s="4" t="n">
        <v>0.61</v>
      </c>
      <c r="J11" s="4" t="n">
        <v>0.795</v>
      </c>
      <c r="K11" s="4" t="n">
        <v>0.019</v>
      </c>
      <c r="L11" s="4" t="n">
        <v>0.576</v>
      </c>
      <c r="M11" s="4" t="n">
        <v>0.681</v>
      </c>
    </row>
    <row r="12">
      <c r="A12" t="inlineStr">
        <is>
          <t>Combination 3</t>
        </is>
      </c>
      <c r="B12" t="n">
        <v>2024</v>
      </c>
      <c r="C12" t="inlineStr">
        <is>
          <t>Medicaid (Title XIX), Title XXI-funded Medicaid Expansion CHIP</t>
        </is>
      </c>
      <c r="D12" t="inlineStr">
        <is>
          <t>Administrative &amp; Electronic Clinical Data Systems (ECDS)</t>
        </is>
      </c>
      <c r="E12" t="inlineStr">
        <is>
          <t>Percentage Up to Date on Recommended Immunizations (Combination 3) by their Second Birthday</t>
        </is>
      </c>
      <c r="F12" t="inlineStr">
        <is>
          <t>Mathematica analysis of the Quality Measure Reporting (QMR) system reports for the 2024 Core Set as of April 28, 2025.</t>
        </is>
      </c>
      <c r="G12"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administrative/ECDS data and produces a lower rate potentially due to the limitations of the data source. Combining the fee-for-service administrative rate and the managed care administrative/ECDS rate has lowered rates compared to previous years when the state only reported the managed care rate."</t>
        </is>
      </c>
      <c r="H12" s="4" t="n">
        <v>0.486</v>
      </c>
      <c r="I12" s="4" t="n">
        <v>0.581</v>
      </c>
      <c r="J12" s="4" t="n">
        <v>0.769</v>
      </c>
      <c r="K12" s="4" t="n">
        <v>0.046</v>
      </c>
      <c r="L12" s="4" t="n">
        <v>0.481</v>
      </c>
      <c r="M12" s="4" t="n">
        <v>0.653</v>
      </c>
    </row>
    <row r="13">
      <c r="A13" t="inlineStr">
        <is>
          <t>Combination 3</t>
        </is>
      </c>
      <c r="B13" t="n">
        <v>2024</v>
      </c>
      <c r="C13" t="inlineStr">
        <is>
          <t>Separate CHIP (Title XXI)</t>
        </is>
      </c>
      <c r="D13" t="inlineStr">
        <is>
          <t>Electronic Clinical Data Systems (ECDS)</t>
        </is>
      </c>
      <c r="E13" t="inlineStr">
        <is>
          <t>Percentage Up to Date on Recommended Immunizations (Combination 3) by their Second Birthday</t>
        </is>
      </c>
      <c r="F13" t="inlineStr">
        <is>
          <t>Mathematica analysis of the Quality Measure Reporting (QMR) system reports for the 2024 Core Set as of April 28, 2025.</t>
        </is>
      </c>
      <c r="G13" t="inlineStr">
        <is>
          <t>State-specific comments: Separate CHIP rates include managed care population (12 MCOs). Rates were audited or validated.</t>
        </is>
      </c>
      <c r="H13" s="4" t="n">
        <v>0.656</v>
      </c>
      <c r="I13" s="4" t="n">
        <v>0.581</v>
      </c>
      <c r="J13" s="4" t="n">
        <v>0.769</v>
      </c>
      <c r="K13" s="4" t="n">
        <v>0.046</v>
      </c>
      <c r="L13" s="4" t="n">
        <v>0.481</v>
      </c>
      <c r="M13" s="4" t="n">
        <v>0.653</v>
      </c>
    </row>
    <row r="14">
      <c r="A14" t="inlineStr">
        <is>
          <t>Flu</t>
        </is>
      </c>
      <c r="B14" t="n">
        <v>2021</v>
      </c>
      <c r="C14" t="inlineStr">
        <is>
          <t>Medicaid &amp; CHIP</t>
        </is>
      </c>
      <c r="D14" t="inlineStr">
        <is>
          <t>Hybrid</t>
        </is>
      </c>
      <c r="E14" t="inlineStr">
        <is>
          <t>Percentage who had at Least Two Flu Vaccinations by their Second Birthday</t>
        </is>
      </c>
      <c r="F14" t="inlineStr">
        <is>
          <t>Mathematica analysis of the Quality Measure Reporting (QMR) system reports for the FFY 2021 reporting cycle as of June 1, 2023.</t>
        </is>
      </c>
      <c r="G14" t="inlineStr">
        <is>
          <t>State-specific comments: Rates include managed care population (16 MCOs). The state described the "other" data sources used to calculate the measure as the following: "Health Plan Billing Data." Denominator is the sample size; measure-eligible population is 88,072. Rates were audited or validated.</t>
        </is>
      </c>
      <c r="H14" s="4" t="n">
        <v>0.595</v>
      </c>
      <c r="I14" s="4" t="n">
        <v>0.496</v>
      </c>
      <c r="J14" s="4" t="n">
        <v>0.888</v>
      </c>
      <c r="K14" s="4" t="n">
        <v>0.08400000000000001</v>
      </c>
      <c r="L14" s="4" t="n">
        <v>0.422</v>
      </c>
      <c r="M14" s="4" t="n">
        <v>0.5580000000000001</v>
      </c>
    </row>
    <row r="15">
      <c r="A15" t="inlineStr">
        <is>
          <t>Flu</t>
        </is>
      </c>
      <c r="B15" t="n">
        <v>2022</v>
      </c>
      <c r="C15" t="inlineStr">
        <is>
          <t>Medicaid &amp; CHIP</t>
        </is>
      </c>
      <c r="D15" t="inlineStr">
        <is>
          <t>Hybrid</t>
        </is>
      </c>
      <c r="E15" t="inlineStr">
        <is>
          <t>Percentage who had at Least Two Flu Vaccinations by their Second Birthday</t>
        </is>
      </c>
      <c r="F15" t="inlineStr">
        <is>
          <t>Mathematica analysis of the Quality Measure Reporting (QMR) system reports for the FFY 2022 reporting cycle as of June 1, 2023.</t>
        </is>
      </c>
      <c r="G15" t="inlineStr">
        <is>
          <t>State-specific comments: Rates include managed care population (16 MCOs). The state described the "other" data sources used to calculate the measure as the following: "Health Plan Billing Data." Denominator is the sample size; measure-eligible population is 113,958. Rates were audited or validated.</t>
        </is>
      </c>
      <c r="H15" s="4" t="n">
        <v>0.545</v>
      </c>
      <c r="I15" s="4" t="n">
        <v>0.457</v>
      </c>
      <c r="J15" s="4" t="n">
        <v>0.724</v>
      </c>
      <c r="K15" s="4" t="n">
        <v>0.052</v>
      </c>
      <c r="L15" s="4" t="n">
        <v>0.371</v>
      </c>
      <c r="M15" s="4" t="n">
        <v>0.522</v>
      </c>
    </row>
    <row r="16">
      <c r="A16" t="inlineStr">
        <is>
          <t>Flu</t>
        </is>
      </c>
      <c r="B16" t="n">
        <v>2023</v>
      </c>
      <c r="C16" t="inlineStr">
        <is>
          <t>Medicaid &amp; CHIP</t>
        </is>
      </c>
      <c r="D16" t="inlineStr">
        <is>
          <t>Hybrid</t>
        </is>
      </c>
      <c r="E16" t="inlineStr">
        <is>
          <t>Percentage who had at Least Two Flu Vaccinations by their Second Birthday</t>
        </is>
      </c>
      <c r="F16" t="inlineStr">
        <is>
          <t>Mathematica analysis of the Quality Measure Reporting (QMR) system reports for the 2023 Core Set as of May 16, 2024.</t>
        </is>
      </c>
      <c r="G16" t="inlineStr">
        <is>
          <t>State-specific comments: Rates include managed care population (15 MCOs). The state described the "other" data sources used to calculate the measure as the following: "Health Plan Billing Data." Denominator is the sample size; measure-eligible population is 109,616. Rates were audited or validated.</t>
        </is>
      </c>
      <c r="H16" s="4" t="n">
        <v>0.479</v>
      </c>
      <c r="I16" s="4" t="n">
        <v>0.402</v>
      </c>
      <c r="J16" s="4" t="n">
        <v>0.664</v>
      </c>
      <c r="K16" s="4" t="n">
        <v>0.08799999999999999</v>
      </c>
      <c r="L16" s="4" t="n">
        <v>0.319</v>
      </c>
      <c r="M16" s="4" t="n">
        <v>0.479</v>
      </c>
    </row>
    <row r="17">
      <c r="A17" t="inlineStr">
        <is>
          <t>Flu</t>
        </is>
      </c>
      <c r="B17" t="n">
        <v>2024</v>
      </c>
      <c r="C17" t="inlineStr">
        <is>
          <t>Medicaid (Title XIX), Title XXI-funded Medicaid Expansion CHIP</t>
        </is>
      </c>
      <c r="D17" t="inlineStr">
        <is>
          <t>Administrative &amp; Electronic Clinical Data Systems (ECDS)</t>
        </is>
      </c>
      <c r="E17" t="inlineStr">
        <is>
          <t>Percentage who had at Least Two Flu Vaccinations by their Second Birthday</t>
        </is>
      </c>
      <c r="F17" t="inlineStr">
        <is>
          <t>Mathematica analysis of the Quality Measure Reporting (QMR) system reports for the 2024 Core Set as of April 28, 2025.</t>
        </is>
      </c>
      <c r="G17"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administrative/ECDS data and produces a lower rate potentially due to the limitations of the data source. Combining the fee-for-service administrative rate and the managed care administrative/ECDS rate has lowered rates compared to previous years when the state only reported the managed care rate."</t>
        </is>
      </c>
      <c r="H17" s="4" t="n">
        <v>0.379</v>
      </c>
      <c r="I17" s="4" t="n">
        <v>0.32</v>
      </c>
      <c r="J17" s="4" t="n">
        <v>0.64</v>
      </c>
      <c r="K17" s="4" t="n">
        <v>0.078</v>
      </c>
      <c r="L17" s="4" t="n">
        <v>0.273</v>
      </c>
      <c r="M17" s="4" t="n">
        <v>0.408</v>
      </c>
    </row>
    <row r="18">
      <c r="A18" t="inlineStr">
        <is>
          <t>Flu</t>
        </is>
      </c>
      <c r="B18" t="n">
        <v>2024</v>
      </c>
      <c r="C18" t="inlineStr">
        <is>
          <t>Separate CHIP (Title XXI)</t>
        </is>
      </c>
      <c r="D18" t="inlineStr">
        <is>
          <t>Electronic Clinical Data Systems (ECDS)</t>
        </is>
      </c>
      <c r="E18" t="inlineStr">
        <is>
          <t>Percentage who had at Least Two Flu Vaccinations by their Second Birthday</t>
        </is>
      </c>
      <c r="F18" t="inlineStr">
        <is>
          <t>Mathematica analysis of the Quality Measure Reporting (QMR) system reports for the 2024 Core Set as of April 28, 2025.</t>
        </is>
      </c>
      <c r="G18" t="inlineStr">
        <is>
          <t>State-specific comments: Separate CHIP rates include managed care population (12 MCOs). Rates were audited or validated.</t>
        </is>
      </c>
      <c r="H18" s="4" t="n">
        <v>0.471</v>
      </c>
      <c r="I18" s="4" t="n">
        <v>0.32</v>
      </c>
      <c r="J18" s="4" t="n">
        <v>0.64</v>
      </c>
      <c r="K18" s="4" t="n">
        <v>0.078</v>
      </c>
      <c r="L18" s="4" t="n">
        <v>0.273</v>
      </c>
      <c r="M18" s="4" t="n">
        <v>0.408</v>
      </c>
    </row>
    <row r="19">
      <c r="A19" t="inlineStr">
        <is>
          <t>MMR</t>
        </is>
      </c>
      <c r="B19" t="n">
        <v>2021</v>
      </c>
      <c r="C19" t="inlineStr">
        <is>
          <t>Medicaid &amp; CHIP</t>
        </is>
      </c>
      <c r="D19" t="inlineStr">
        <is>
          <t>Hybrid</t>
        </is>
      </c>
      <c r="E19" t="inlineStr">
        <is>
          <t>Percentage who had a Measles, Mumps, and Rubella (MMR) Vaccination by their Second Birthday</t>
        </is>
      </c>
      <c r="F19" t="inlineStr">
        <is>
          <t>Mathematica analysis of the Quality Measure Reporting (QMR) system reports for the FFY 2021 reporting cycle as of June 1, 2023.</t>
        </is>
      </c>
      <c r="G19" t="inlineStr">
        <is>
          <t>State-specific comments: Rates include managed care population (16 MCOs). The state described the "other" data sources used to calculate the measure as the following: "Health Plan Billing Data." Denominator is the sample size; measure-eligible population is 88,072. Rates were audited or validated.</t>
        </is>
      </c>
      <c r="H19" s="4" t="n">
        <v>0.894</v>
      </c>
      <c r="I19" s="4" t="n">
        <v>0.866</v>
      </c>
      <c r="J19" s="4" t="n">
        <v>0.919</v>
      </c>
      <c r="K19" s="4" t="n">
        <v>0.498</v>
      </c>
      <c r="L19" s="4" t="n">
        <v>0.845</v>
      </c>
      <c r="M19" s="4" t="n">
        <v>0.892</v>
      </c>
    </row>
    <row r="20">
      <c r="A20" t="inlineStr">
        <is>
          <t>MMR</t>
        </is>
      </c>
      <c r="B20" t="n">
        <v>2022</v>
      </c>
      <c r="C20" t="inlineStr">
        <is>
          <t>Medicaid &amp; CHIP</t>
        </is>
      </c>
      <c r="D20" t="inlineStr">
        <is>
          <t>Hybrid</t>
        </is>
      </c>
      <c r="E20" t="inlineStr">
        <is>
          <t>Percentage who had a Measles, Mumps, and Rubella (MMR) Vaccination by their Second Birthday</t>
        </is>
      </c>
      <c r="F20" t="inlineStr">
        <is>
          <t>Mathematica analysis of the Quality Measure Reporting (QMR) system reports for the FFY 2022 reporting cycle as of June 1, 2023.</t>
        </is>
      </c>
      <c r="G20" t="inlineStr">
        <is>
          <t>State-specific comments: Rates include managed care population (16 MCOs). The state described the "other" data sources used to calculate the measure as the following: "Health Plan Billing Data." Denominator is the sample size; measure-eligible population is 113,958. Rates were audited or validated.</t>
        </is>
      </c>
      <c r="H20" s="4" t="n">
        <v>0.843</v>
      </c>
      <c r="I20" s="4" t="n">
        <v>0.82</v>
      </c>
      <c r="J20" s="4" t="n">
        <v>0.9</v>
      </c>
      <c r="K20" s="4" t="n">
        <v>0.532</v>
      </c>
      <c r="L20" s="4" t="n">
        <v>0.784</v>
      </c>
      <c r="M20" s="4" t="n">
        <v>0.849</v>
      </c>
    </row>
    <row r="21">
      <c r="A21" t="inlineStr">
        <is>
          <t>MMR</t>
        </is>
      </c>
      <c r="B21" t="n">
        <v>2023</v>
      </c>
      <c r="C21" t="inlineStr">
        <is>
          <t>Medicaid &amp; CHIP</t>
        </is>
      </c>
      <c r="D21" t="inlineStr">
        <is>
          <t>Hybrid</t>
        </is>
      </c>
      <c r="E21" t="inlineStr">
        <is>
          <t>Percentage who had a Measles, Mumps, and Rubella (MMR) Vaccination by their Second Birthday</t>
        </is>
      </c>
      <c r="F21" t="inlineStr">
        <is>
          <t>Mathematica analysis of the Quality Measure Reporting (QMR) system reports for the 2023 Core Set as of May 16, 2024.</t>
        </is>
      </c>
      <c r="G21" t="inlineStr">
        <is>
          <t>State-specific comments: Rates include managed care population (15 MCOs). The state described the "other" data sources used to calculate the measure as the following: "Health Plan Billing Data." Denominator is the sample size; measure-eligible population is 109,616. Rates were audited or validated.</t>
        </is>
      </c>
      <c r="H21" s="4" t="n">
        <v>0.862</v>
      </c>
      <c r="I21" s="4" t="n">
        <v>0.826</v>
      </c>
      <c r="J21" s="4" t="n">
        <v>0.915</v>
      </c>
      <c r="K21" s="4" t="n">
        <v>0.639</v>
      </c>
      <c r="L21" s="4" t="n">
        <v>0.794</v>
      </c>
      <c r="M21" s="4" t="n">
        <v>0.855</v>
      </c>
    </row>
    <row r="22">
      <c r="A22" t="inlineStr">
        <is>
          <t>MMR</t>
        </is>
      </c>
      <c r="B22" t="n">
        <v>2024</v>
      </c>
      <c r="C22" t="inlineStr">
        <is>
          <t>Medicaid (Title XIX), Title XXI-funded Medicaid Expansion CHIP</t>
        </is>
      </c>
      <c r="D22" t="inlineStr">
        <is>
          <t>Administrative &amp; Electronic Clinical Data Systems (ECDS)</t>
        </is>
      </c>
      <c r="E22" t="inlineStr">
        <is>
          <t>Percentage who had a Measles, Mumps, and Rubella (MMR) Vaccination by their Second Birthday</t>
        </is>
      </c>
      <c r="F22" t="inlineStr">
        <is>
          <t>Mathematica analysis of the Quality Measure Reporting (QMR) system reports for the 2024 Core Set as of April 28, 2025.</t>
        </is>
      </c>
      <c r="G22"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administrative/ECDS data and produces a lower rate potentially due to the limitations of the data source. Combining the fee-for-service administrative rate and the managed care administrative/ECDS rate has lowered rates compared to previous years when the state only reported the managed care rate."</t>
        </is>
      </c>
      <c r="H22" s="4" t="n">
        <v>0.719</v>
      </c>
      <c r="I22" s="4" t="n">
        <v>0.819</v>
      </c>
      <c r="J22" s="4" t="n">
        <v>0.909</v>
      </c>
      <c r="K22" s="4" t="n">
        <v>0.207</v>
      </c>
      <c r="L22" s="4" t="n">
        <v>0.751</v>
      </c>
      <c r="M22" s="4" t="n">
        <v>0.845</v>
      </c>
    </row>
    <row r="23">
      <c r="A23" t="inlineStr">
        <is>
          <t>MMR</t>
        </is>
      </c>
      <c r="B23" t="n">
        <v>2024</v>
      </c>
      <c r="C23" t="inlineStr">
        <is>
          <t>Separate CHIP (Title XXI)</t>
        </is>
      </c>
      <c r="D23" t="inlineStr">
        <is>
          <t>Electronic Clinical Data Systems (ECDS)</t>
        </is>
      </c>
      <c r="E23" t="inlineStr">
        <is>
          <t>Percentage who had a Measles, Mumps, and Rubella (MMR) Vaccination by their Second Birthday</t>
        </is>
      </c>
      <c r="F23" t="inlineStr">
        <is>
          <t>Mathematica analysis of the Quality Measure Reporting (QMR) system reports for the 2024 Core Set as of April 28, 2025.</t>
        </is>
      </c>
      <c r="G23" t="inlineStr">
        <is>
          <t>State-specific comments: Separate CHIP rates include managed care population (12 MCOs). Rates were audited or validated.</t>
        </is>
      </c>
      <c r="H23" s="4" t="n">
        <v>0.858</v>
      </c>
      <c r="I23" s="4" t="n">
        <v>0.819</v>
      </c>
      <c r="J23" s="4" t="n">
        <v>0.909</v>
      </c>
      <c r="K23" s="4" t="n">
        <v>0.207</v>
      </c>
      <c r="L23" s="4" t="n">
        <v>0.751</v>
      </c>
      <c r="M23" s="4" t="n">
        <v>0.845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Chlamydia Screening in Women Ages 16 to 20 (CHL-CH)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&amp; CHIP</t>
        </is>
      </c>
      <c r="C4" t="inlineStr">
        <is>
          <t>Administrative</t>
        </is>
      </c>
      <c r="D4" t="inlineStr">
        <is>
          <t>Percentage of Sexually Active Women Screened for Chlamydia: Ages 16 to 20</t>
        </is>
      </c>
      <c r="E4" t="inlineStr">
        <is>
          <t>Higher values are better</t>
        </is>
      </c>
      <c r="F4" t="inlineStr">
        <is>
          <t>Mathematica analysis of the Quality Measure Reporting (QMR) system reports for the FFY 2021 reporting cycle as of June 1, 2023.</t>
        </is>
      </c>
      <c r="G4" t="inlineStr">
        <is>
          <t>State-specific comments: Rate includes managed care population (16 MCOs). The state described the "other" data sources used to calculate the measure as the following: "Health Plan Billing." Rate was audited or validated.</t>
        </is>
      </c>
      <c r="H4" s="4" t="n">
        <v>0.706</v>
      </c>
      <c r="I4" s="4" t="n">
        <v>0.467</v>
      </c>
      <c r="J4" s="4" t="n">
        <v>0.724</v>
      </c>
      <c r="K4" s="4" t="n">
        <v>0.108</v>
      </c>
      <c r="L4" s="4" t="n">
        <v>0.397</v>
      </c>
      <c r="M4" s="4" t="n">
        <v>0.571</v>
      </c>
    </row>
    <row r="5">
      <c r="A5" t="n">
        <v>2022</v>
      </c>
      <c r="B5" t="inlineStr">
        <is>
          <t>Medicaid &amp; CHIP</t>
        </is>
      </c>
      <c r="C5" t="inlineStr">
        <is>
          <t>Administrative</t>
        </is>
      </c>
      <c r="D5" t="inlineStr">
        <is>
          <t>Percentage of Sexually Active Women Screened for Chlamydia: Ages 16 to 20</t>
        </is>
      </c>
      <c r="E5" t="inlineStr">
        <is>
          <t>Higher values are better</t>
        </is>
      </c>
      <c r="F5" t="inlineStr">
        <is>
          <t>Mathematica analysis of the Quality Measure Reporting (QMR) system reports for the FFY 2022 reporting cycle as of June 1, 2023.</t>
        </is>
      </c>
      <c r="G5" t="inlineStr">
        <is>
          <t>State-specific comments: Rate includes managed care population (16 MCOs). The state described the "other" data sources used to calculate the measure as the following: "Health Plan Billing Data." Rate was audited or validated.</t>
        </is>
      </c>
      <c r="H5" s="4" t="n">
        <v>0.714</v>
      </c>
      <c r="I5" s="4" t="n">
        <v>0.472</v>
      </c>
      <c r="J5" s="4" t="n">
        <v>0.719</v>
      </c>
      <c r="K5" s="4" t="n">
        <v>0.134</v>
      </c>
      <c r="L5" s="4" t="n">
        <v>0.427</v>
      </c>
      <c r="M5" s="4" t="n">
        <v>0.581</v>
      </c>
    </row>
    <row r="6">
      <c r="A6" t="n">
        <v>2023</v>
      </c>
      <c r="B6" t="inlineStr">
        <is>
          <t>Medicaid &amp; CHIP</t>
        </is>
      </c>
      <c r="C6" t="inlineStr">
        <is>
          <t>Administrative</t>
        </is>
      </c>
      <c r="D6" t="inlineStr">
        <is>
          <t>Percentage of Sexually Active Women Screened for Chlamydia: Ages 16 to 20</t>
        </is>
      </c>
      <c r="E6" t="inlineStr">
        <is>
          <t>Higher values are better</t>
        </is>
      </c>
      <c r="F6" t="inlineStr">
        <is>
          <t>Mathematica analysis of the Quality Measure Reporting (QMR) system reports for the 2023 Core Set as of May 16, 2024.</t>
        </is>
      </c>
      <c r="G6" t="inlineStr">
        <is>
          <t>State-specific comments: Rate includes managed care population (15 MCOs). The state described the "other" data sources used to calculate the measure as the following: "Health Plan Billing Data." Rate was audited or validated.</t>
        </is>
      </c>
      <c r="H6" s="4" t="n">
        <v>0.719</v>
      </c>
      <c r="I6" s="4" t="n">
        <v>0.468</v>
      </c>
      <c r="J6" s="4" t="n">
        <v>0.772</v>
      </c>
      <c r="K6" s="4" t="n">
        <v>0.283</v>
      </c>
      <c r="L6" s="4" t="n">
        <v>0.411</v>
      </c>
      <c r="M6" s="4" t="n">
        <v>0.575</v>
      </c>
    </row>
    <row r="7">
      <c r="A7" t="n">
        <v>2024</v>
      </c>
      <c r="B7" t="inlineStr">
        <is>
          <t>Medicaid (Title XIX), Title XXI-funded Medicaid Expansion CHIP, Separate CHIP (Title XXI)</t>
        </is>
      </c>
      <c r="C7" t="inlineStr">
        <is>
          <t>Administrative</t>
        </is>
      </c>
      <c r="D7" t="inlineStr">
        <is>
          <t>Percentage of Sexually Active Women Screened for Chlamydia: Ages 16 to 20</t>
        </is>
      </c>
      <c r="E7" t="inlineStr">
        <is>
          <t>Higher values are better</t>
        </is>
      </c>
      <c r="F7" t="inlineStr">
        <is>
          <t>Mathematica analysis of the Quality Measure Reporting (QMR) system reports for the 2024 Core Set as of April 28, 2025.</t>
        </is>
      </c>
      <c r="G7" t="inlineStr">
        <is>
          <t>State-specific comments: Rate combines the Medicaid and separate CHIP data reported by the state in the QMR system. See Medicaid and separate CHIP state-specific comments for information about the data reported for each population.</t>
        </is>
      </c>
      <c r="H7" s="4" t="n">
        <v>0.719</v>
      </c>
      <c r="I7" s="4" t="n">
        <v>0.471</v>
      </c>
      <c r="J7" s="4" t="n">
        <v>0.778</v>
      </c>
      <c r="K7" s="4" t="n">
        <v>0.281</v>
      </c>
      <c r="L7" s="4" t="n">
        <v>0.406</v>
      </c>
      <c r="M7" s="4" t="n">
        <v>0.57</v>
      </c>
    </row>
    <row r="8">
      <c r="A8" t="n">
        <v>2024</v>
      </c>
      <c r="B8" t="inlineStr">
        <is>
          <t>Medicaid (Title XIX), Title XXI-funded Medicaid Expansion CHIP</t>
        </is>
      </c>
      <c r="C8" t="inlineStr">
        <is>
          <t>Administrative</t>
        </is>
      </c>
      <c r="D8" t="inlineStr">
        <is>
          <t>Percentage of Sexually Active Women Screened for Chlamydia: Ages 16 to 20</t>
        </is>
      </c>
      <c r="E8" t="inlineStr">
        <is>
          <t>Higher values are better</t>
        </is>
      </c>
      <c r="F8" t="inlineStr">
        <is>
          <t>Mathematica analysis of the Quality Measure Reporting (QMR) system reports for the 2024 Core Set as of April 28, 2025.</t>
        </is>
      </c>
      <c r="G8" t="inlineStr">
        <is>
          <t>State-specific comments: Medicaid rate includes FFS and managed care populations (15 MCOs). The state described the "other" data sources used to calculate the measure as the following: "Health Plan Billing Data." Rate was audited or validated.</t>
        </is>
      </c>
      <c r="H8" s="4" t="n">
        <v>0.724</v>
      </c>
      <c r="I8" s="4" t="n">
        <v>0.471</v>
      </c>
      <c r="J8" s="4" t="n">
        <v>0.778</v>
      </c>
      <c r="K8" s="4" t="n">
        <v>0.281</v>
      </c>
      <c r="L8" s="4" t="n">
        <v>0.406</v>
      </c>
      <c r="M8" s="4" t="n">
        <v>0.57</v>
      </c>
    </row>
    <row r="9">
      <c r="A9" t="n">
        <v>2024</v>
      </c>
      <c r="B9" t="inlineStr">
        <is>
          <t>Separate CHIP (Title XXI)</t>
        </is>
      </c>
      <c r="C9" t="inlineStr">
        <is>
          <t>Administrative</t>
        </is>
      </c>
      <c r="D9" t="inlineStr">
        <is>
          <t>Percentage of Sexually Active Women Screened for Chlamydia: Ages 16 to 20</t>
        </is>
      </c>
      <c r="E9" t="inlineStr">
        <is>
          <t>Higher values are better</t>
        </is>
      </c>
      <c r="F9" t="inlineStr">
        <is>
          <t>Mathematica analysis of the Quality Measure Reporting (QMR) system reports for the 2024 Core Set as of April 28, 2025.</t>
        </is>
      </c>
      <c r="G9" t="inlineStr">
        <is>
          <t>State-specific comments: Separate CHIP rate includes managed care population (12 MCOs). The state described the "other" data sources used to calculate the measure as the following: "Health Plan Billing Data." Rate was audited or validated.</t>
        </is>
      </c>
      <c r="H9" s="4" t="n">
        <v>0.681</v>
      </c>
      <c r="I9" s="4" t="n">
        <v>0.471</v>
      </c>
      <c r="J9" s="4" t="n">
        <v>0.778</v>
      </c>
      <c r="K9" s="4" t="n">
        <v>0.281</v>
      </c>
      <c r="L9" s="4" t="n">
        <v>0.406</v>
      </c>
      <c r="M9" s="4" t="n">
        <v>0.57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Chlamydia Screening in Women Ages 21 to 24 (CHL-AD)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of Sexually Active Women Screened for Chlamydia: Ages 21 to 24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(37 MCOs). Rate was audited or validated.</t>
        </is>
      </c>
      <c r="H4" s="4" t="n">
        <v>0.676</v>
      </c>
      <c r="I4" s="4" t="n">
        <v>0.5639999999999999</v>
      </c>
      <c r="J4" s="4" t="n">
        <v>0.777</v>
      </c>
      <c r="K4" s="4" t="n">
        <v>0.09</v>
      </c>
      <c r="L4" s="4" t="n">
        <v>0.51</v>
      </c>
      <c r="M4" s="4" t="n">
        <v>0.641</v>
      </c>
    </row>
    <row r="5">
      <c r="A5" t="n">
        <v>2022</v>
      </c>
      <c r="B5" t="inlineStr">
        <is>
          <t>Medicaid</t>
        </is>
      </c>
      <c r="C5" t="inlineStr">
        <is>
          <t>Administrative</t>
        </is>
      </c>
      <c r="D5" t="inlineStr">
        <is>
          <t>Percentage of Sexually Active Women Screened for Chlamydia: Ages 21 to 24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(39 MCOs). Rate was audited or validated.</t>
        </is>
      </c>
      <c r="H5" s="4" t="n">
        <v>0.6850000000000001</v>
      </c>
      <c r="I5" s="4" t="n">
        <v>0.5590000000000001</v>
      </c>
      <c r="J5" s="4" t="n">
        <v>0.76</v>
      </c>
      <c r="K5" s="4" t="n">
        <v>0.124</v>
      </c>
      <c r="L5" s="4" t="n">
        <v>0.52</v>
      </c>
      <c r="M5" s="4" t="n">
        <v>0.641</v>
      </c>
    </row>
    <row r="6">
      <c r="A6" t="n">
        <v>2023</v>
      </c>
      <c r="B6" t="inlineStr">
        <is>
          <t>Medicaid</t>
        </is>
      </c>
      <c r="C6" t="inlineStr">
        <is>
          <t>Administrative</t>
        </is>
      </c>
      <c r="D6" t="inlineStr">
        <is>
          <t>Percentage of Sexually Active Women Screened for Chlamydia: Ages 21 to 24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(38 MCOs). Rate was audited or validated.</t>
        </is>
      </c>
      <c r="H6" s="4" t="n">
        <v>0.6820000000000001</v>
      </c>
      <c r="I6" s="4" t="n">
        <v>0.5620000000000001</v>
      </c>
      <c r="J6" s="4" t="n">
        <v>0.781</v>
      </c>
      <c r="K6" s="4" t="n">
        <v>0.307</v>
      </c>
      <c r="L6" s="4" t="n">
        <v>0.519</v>
      </c>
      <c r="M6" s="4" t="n">
        <v>0.643</v>
      </c>
    </row>
    <row r="7">
      <c r="A7" t="n">
        <v>2024</v>
      </c>
      <c r="B7" t="inlineStr">
        <is>
          <t>Medicaid (Title XIX)</t>
        </is>
      </c>
      <c r="C7" t="inlineStr">
        <is>
          <t>Administrative</t>
        </is>
      </c>
      <c r="D7" t="inlineStr">
        <is>
          <t>Percentage of Sexually Active Women Screened for Chlamydia: Ages 21 to 24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(37 MCOs). Rate was audited or validated.</t>
        </is>
      </c>
      <c r="H7" s="4" t="n">
        <v>0.675</v>
      </c>
      <c r="I7" s="4" t="n">
        <v>0.5600000000000001</v>
      </c>
      <c r="J7" s="4" t="n">
        <v>0.775</v>
      </c>
      <c r="K7" s="4" t="n">
        <v>0.334</v>
      </c>
      <c r="L7" s="4" t="n">
        <v>0.502</v>
      </c>
      <c r="M7" s="4" t="n">
        <v>0.634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5"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Colorectal Cancer Screening: Ages 45 to 75 (COL-AD)</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46 to 49</t>
        </is>
      </c>
      <c r="B4" t="n">
        <v>2023</v>
      </c>
      <c r="C4" t="inlineStr">
        <is>
          <t>Medicaid</t>
        </is>
      </c>
      <c r="D4" t="inlineStr">
        <is>
          <t>Administrative</t>
        </is>
      </c>
      <c r="E4" t="inlineStr">
        <is>
          <t>Percentage who had Appropriate Screening for Colorectal Cancer: Ages 46 to 49</t>
        </is>
      </c>
      <c r="F4" t="inlineStr">
        <is>
          <t>Higher values are better</t>
        </is>
      </c>
      <c r="G4" t="inlineStr">
        <is>
          <t>Mathematica analysis of the Quality Measure Reporting (QMR) system reports for the 2023 Core Set as of May 16, 2024.</t>
        </is>
      </c>
      <c r="H4" t="inlineStr">
        <is>
          <t>State-specific comments: Rates include FFS and managed care populations (61 MCOs). Rates were audited or validated.</t>
        </is>
      </c>
      <c r="I4" s="4" t="n">
        <v>0.204</v>
      </c>
      <c r="J4" s="4" t="n">
        <v>0.191</v>
      </c>
      <c r="K4" s="4" t="n">
        <v>0.391</v>
      </c>
      <c r="L4" s="4" t="n">
        <v>0.062</v>
      </c>
      <c r="M4" s="4" t="n">
        <v>0.151</v>
      </c>
      <c r="N4" s="4" t="n">
        <v>0.205</v>
      </c>
    </row>
    <row r="5">
      <c r="A5" t="inlineStr">
        <is>
          <t>Ages 46 to 50</t>
        </is>
      </c>
      <c r="B5" t="n">
        <v>2024</v>
      </c>
      <c r="C5" t="inlineStr">
        <is>
          <t>Medicaid (Title XIX)</t>
        </is>
      </c>
      <c r="D5" t="inlineStr">
        <is>
          <t>Administrative</t>
        </is>
      </c>
      <c r="E5" t="inlineStr">
        <is>
          <t>Percentage who had Appropriate Screening for Colorectal Cancer: Ages 46 to 50</t>
        </is>
      </c>
      <c r="F5" t="inlineStr">
        <is>
          <t>Higher values are better</t>
        </is>
      </c>
      <c r="G5" t="inlineStr">
        <is>
          <t>Mathematica analysis of the Quality Measure Reporting (QMR) system reports for the 2024 Core Set as of April 28, 2025.</t>
        </is>
      </c>
      <c r="H5" t="inlineStr">
        <is>
          <t>State-specific comments: Rates include FFS and managed care populations (59 MCOs). Rates were audited or validated.</t>
        </is>
      </c>
      <c r="I5" s="4" t="n">
        <v>0.265</v>
      </c>
      <c r="J5" s="4" t="n">
        <v>0.229</v>
      </c>
      <c r="K5" s="4" t="n">
        <v>0.442</v>
      </c>
      <c r="L5" s="4" t="n">
        <v>0.096</v>
      </c>
      <c r="M5" s="4" t="n">
        <v>0.2</v>
      </c>
      <c r="N5" s="4" t="n">
        <v>0.265</v>
      </c>
    </row>
    <row r="6">
      <c r="A6" t="inlineStr">
        <is>
          <t>Ages 50 to 64</t>
        </is>
      </c>
      <c r="B6" t="n">
        <v>2023</v>
      </c>
      <c r="C6" t="inlineStr">
        <is>
          <t>Medicaid</t>
        </is>
      </c>
      <c r="D6" t="inlineStr">
        <is>
          <t>Administrative</t>
        </is>
      </c>
      <c r="E6" t="inlineStr">
        <is>
          <t>Percentage who had Appropriate Screening for Colorectal Cancer: Ages 50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(61 MCOs). Rates were audited or validated.</t>
        </is>
      </c>
      <c r="I6" s="4" t="n">
        <v>0.449</v>
      </c>
      <c r="J6" s="4" t="n">
        <v>0.364</v>
      </c>
      <c r="K6" s="4" t="n">
        <v>0.517</v>
      </c>
      <c r="L6" s="4" t="n">
        <v>0.077</v>
      </c>
      <c r="M6" s="4" t="n">
        <v>0.301</v>
      </c>
      <c r="N6" s="4" t="n">
        <v>0.428</v>
      </c>
    </row>
    <row r="7">
      <c r="A7" t="inlineStr">
        <is>
          <t>Ages 51 to 65</t>
        </is>
      </c>
      <c r="B7" t="n">
        <v>2024</v>
      </c>
      <c r="C7" t="inlineStr">
        <is>
          <t>Medicaid (Title XIX)</t>
        </is>
      </c>
      <c r="D7" t="inlineStr">
        <is>
          <t>Administrative</t>
        </is>
      </c>
      <c r="E7" t="inlineStr">
        <is>
          <t>Percentage who had Appropriate Screening for Colorectal Cancer: Ages 51 to 65</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(59 MCOs). Rates were audited or validated.</t>
        </is>
      </c>
      <c r="I7" s="4" t="n">
        <v>0.47</v>
      </c>
      <c r="J7" s="4" t="n">
        <v>0.377</v>
      </c>
      <c r="K7" s="4" t="n">
        <v>0.554</v>
      </c>
      <c r="L7" s="4" t="n">
        <v>0.074</v>
      </c>
      <c r="M7" s="4" t="n">
        <v>0.303</v>
      </c>
      <c r="N7" s="4" t="n">
        <v>0.426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Concurrent Use of Opioids and Benzodiazepines: Age 18 and Older (COB-AD)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Concurrent Use of Prescription Opioids and Benzodiazepines for 30 or More Cumulative Days: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(55 MCOs). Rate was audited or validated. Numerator and denominator include age 65+ population.</t>
        </is>
      </c>
      <c r="H4" s="4" t="n">
        <v>0.174</v>
      </c>
      <c r="I4" s="4" t="n">
        <v>0.138</v>
      </c>
      <c r="J4" s="4" t="n">
        <v>0.266</v>
      </c>
      <c r="K4" s="4" t="n">
        <v>0.013</v>
      </c>
      <c r="L4" s="4" t="n">
        <v>0.1</v>
      </c>
      <c r="M4" s="4" t="n">
        <v>0.172</v>
      </c>
    </row>
    <row r="5">
      <c r="A5" t="n">
        <v>2022</v>
      </c>
      <c r="B5" t="inlineStr">
        <is>
          <t>Medicaid</t>
        </is>
      </c>
      <c r="C5" t="inlineStr">
        <is>
          <t>Administrative</t>
        </is>
      </c>
      <c r="D5" t="inlineStr">
        <is>
          <t>Percentage with Concurrent Use of Prescription Opioids and Benzodiazepines for 30 or More Cumulative Days: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(55 MCOs). Rate was audited or validated. Numerator and denominator include age 65+ population.</t>
        </is>
      </c>
      <c r="H5" s="4" t="n">
        <v>0.164</v>
      </c>
      <c r="I5" s="4" t="n">
        <v>0.133</v>
      </c>
      <c r="J5" s="4" t="n">
        <v>0.232</v>
      </c>
      <c r="K5" s="4" t="n">
        <v>0.01</v>
      </c>
      <c r="L5" s="4" t="n">
        <v>0.097</v>
      </c>
      <c r="M5" s="4" t="n">
        <v>0.16</v>
      </c>
    </row>
    <row r="6">
      <c r="A6" t="n">
        <v>2023</v>
      </c>
      <c r="B6" t="inlineStr">
        <is>
          <t>Medicaid</t>
        </is>
      </c>
      <c r="C6" t="inlineStr">
        <is>
          <t>Administrative</t>
        </is>
      </c>
      <c r="D6" t="inlineStr">
        <is>
          <t>Percentage with Concurrent Use of Prescription Opioids and Benzodiazepines for 30 or More Cumulative Days: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(54 MCOs). Rate was audited or validated.</t>
        </is>
      </c>
      <c r="H6" s="4" t="n">
        <v>0.162</v>
      </c>
      <c r="I6" s="4" t="n">
        <v>0.13</v>
      </c>
      <c r="J6" s="4" t="n">
        <v>0.229</v>
      </c>
      <c r="K6" s="4" t="n">
        <v>0.032</v>
      </c>
      <c r="L6" s="4" t="n">
        <v>0.1</v>
      </c>
      <c r="M6" s="4" t="n">
        <v>0.155</v>
      </c>
    </row>
    <row r="7">
      <c r="A7" t="n">
        <v>2024</v>
      </c>
      <c r="B7" t="inlineStr">
        <is>
          <t>Medicaid (Title XIX)</t>
        </is>
      </c>
      <c r="C7" t="inlineStr">
        <is>
          <t>Administrative</t>
        </is>
      </c>
      <c r="D7" t="inlineStr">
        <is>
          <t>Percentage with Concurrent Use of Prescription Opioids and Benzodiazepines for 30 or More Cumulative Days: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(53 MCOs). State reported that the rate excludes the following populations: "Excludes the dual-eligible population - data not available." Rate was audited or validated.</t>
        </is>
      </c>
      <c r="H7" s="4" t="n">
        <v>0.166</v>
      </c>
      <c r="I7" s="4" t="n">
        <v>0.131</v>
      </c>
      <c r="J7" s="4" t="n">
        <v>0.241</v>
      </c>
      <c r="K7" s="4" t="n">
        <v>0.036</v>
      </c>
      <c r="L7" s="4" t="n">
        <v>0.083</v>
      </c>
      <c r="M7" s="4" t="n">
        <v>0.159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8"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Contraceptive Care - All Women Ages 15 to 20 (CCW-CH)</t>
        </is>
      </c>
    </row>
    <row r="2"/>
    <row r="3">
      <c r="A3" s="1" t="inlineStr">
        <is>
          <t>Method of Contraception</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Long-Acting Reversible Method of Contraception</t>
        </is>
      </c>
      <c r="B4" t="n">
        <v>2021</v>
      </c>
      <c r="C4" t="inlineStr">
        <is>
          <t>Medicaid only</t>
        </is>
      </c>
      <c r="D4" t="inlineStr">
        <is>
          <t>Administrative</t>
        </is>
      </c>
      <c r="E4" t="inlineStr">
        <is>
          <t>Percentage of All Women at Risk of Unintended Pregnancy Provided a Long-Acting Reversible Method of Contraception: Ages 15 to 20</t>
        </is>
      </c>
      <c r="F4" t="inlineStr">
        <is>
          <t>Higher values are better</t>
        </is>
      </c>
      <c r="G4" t="inlineStr">
        <is>
          <t>Mathematica analysis of the Quality Measure Reporting (QMR) system reports for the FFY 2021 reporting cycle as of June 1, 2023.</t>
        </is>
      </c>
      <c r="H4" t="inlineStr">
        <is>
          <t>State-specific comments: Medicaid rates include FFS and managed care populations (16 MCOs). Rates were audited or validated.</t>
        </is>
      </c>
      <c r="I4" s="4" t="n">
        <v>0.021</v>
      </c>
      <c r="J4" s="4" t="n">
        <v>0.037</v>
      </c>
      <c r="K4" s="4" t="n">
        <v>0.106</v>
      </c>
      <c r="L4" s="4" t="n">
        <v>0.002</v>
      </c>
      <c r="M4" s="4" t="n">
        <v>0.028</v>
      </c>
      <c r="N4" s="4" t="n">
        <v>0.05</v>
      </c>
    </row>
    <row r="5">
      <c r="A5" t="inlineStr">
        <is>
          <t>Long-Acting Reversible Method of Contraception</t>
        </is>
      </c>
      <c r="B5" t="n">
        <v>2022</v>
      </c>
      <c r="C5" t="inlineStr">
        <is>
          <t>Medicaid only</t>
        </is>
      </c>
      <c r="D5" t="inlineStr">
        <is>
          <t>Administrative</t>
        </is>
      </c>
      <c r="E5" t="inlineStr">
        <is>
          <t>Percentage of All Women at Risk of Unintended Pregnancy Provided a Long-Acting Reversible Method of Contraception: Ages 15 to 20</t>
        </is>
      </c>
      <c r="F5" t="inlineStr">
        <is>
          <t>Higher values are better</t>
        </is>
      </c>
      <c r="G5" t="inlineStr">
        <is>
          <t>Mathematica analysis of the Quality Measure Reporting (QMR) system reports for the FFY 2022 reporting cycle as of June 1, 2023.</t>
        </is>
      </c>
      <c r="H5" t="inlineStr">
        <is>
          <t>State-specific comments: Medicaid rates include FFS and managed care populations (16 MCOs). Rates were audited or validated.</t>
        </is>
      </c>
      <c r="I5" s="4" t="n">
        <v>0.02</v>
      </c>
      <c r="J5" s="4" t="n">
        <v>0.034</v>
      </c>
      <c r="K5" s="4" t="n">
        <v>0.314</v>
      </c>
      <c r="L5" s="4" t="n">
        <v>0.003</v>
      </c>
      <c r="M5" s="4" t="n">
        <v>0.027</v>
      </c>
      <c r="N5" s="4" t="n">
        <v>0.047</v>
      </c>
    </row>
    <row r="6">
      <c r="A6" t="inlineStr">
        <is>
          <t>Long-Acting Reversible Method of Contraception</t>
        </is>
      </c>
      <c r="B6" t="n">
        <v>2023</v>
      </c>
      <c r="C6" t="inlineStr">
        <is>
          <t>Medicaid only</t>
        </is>
      </c>
      <c r="D6" t="inlineStr">
        <is>
          <t>Administrative</t>
        </is>
      </c>
      <c r="E6" t="inlineStr">
        <is>
          <t>Percentage of All Women at Risk of Unintended Pregnancy Provided a Long-Acting Reversible Method of Contraception: Ages 15 to 20</t>
        </is>
      </c>
      <c r="F6" t="inlineStr">
        <is>
          <t>Higher values are better</t>
        </is>
      </c>
      <c r="G6" t="inlineStr">
        <is>
          <t>Mathematica analysis of the Quality Measure Reporting (QMR) system reports for the 2023 Core Set as of May 16, 2024.</t>
        </is>
      </c>
      <c r="H6" t="inlineStr">
        <is>
          <t>State-specific comments: Medicaid rates include FFS and managed care populations (15 MCOs). Rates were audited or validated.</t>
        </is>
      </c>
      <c r="I6" s="4" t="n">
        <v>0.018</v>
      </c>
      <c r="J6" s="4" t="n">
        <v>0.03</v>
      </c>
      <c r="K6" s="4" t="n">
        <v>0.28</v>
      </c>
      <c r="L6" s="4" t="n">
        <v>0.001</v>
      </c>
      <c r="M6" s="4" t="n">
        <v>0.023</v>
      </c>
      <c r="N6" s="4" t="n">
        <v>0.042</v>
      </c>
    </row>
    <row r="7">
      <c r="A7" t="inlineStr">
        <is>
          <t>Long-Acting Reversible Method of Contraception</t>
        </is>
      </c>
      <c r="B7" t="n">
        <v>2024</v>
      </c>
      <c r="C7" t="inlineStr">
        <is>
          <t>Medicaid (Title XIX)</t>
        </is>
      </c>
      <c r="D7" t="inlineStr">
        <is>
          <t>Administrative</t>
        </is>
      </c>
      <c r="E7" t="inlineStr">
        <is>
          <t>Percentage of All Women at Risk of Unintended Pregnancy Provided a Long-Acting Reversible Method of Contraception: Ages 15 to 20</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(15 MCOs). State reported that rates exclude the following populations: "New York State received a one-year exemption from reporting for the separate CHIP population for this measure." Rates were audited or validated.</t>
        </is>
      </c>
      <c r="I7" s="4" t="n">
        <v>0.015</v>
      </c>
      <c r="J7" s="4" t="n">
        <v>0.033</v>
      </c>
      <c r="K7" s="4" t="n">
        <v>0.078</v>
      </c>
      <c r="L7" s="4" t="n">
        <v>0.001</v>
      </c>
      <c r="M7" s="4" t="n">
        <v>0.024</v>
      </c>
      <c r="N7" s="4" t="n">
        <v>0.045</v>
      </c>
    </row>
    <row r="8">
      <c r="A8" t="inlineStr">
        <is>
          <t>Most or Moderately Effective Contraceptive</t>
        </is>
      </c>
      <c r="B8" t="n">
        <v>2021</v>
      </c>
      <c r="C8" t="inlineStr">
        <is>
          <t>Medicaid only</t>
        </is>
      </c>
      <c r="D8" t="inlineStr">
        <is>
          <t>Administrative</t>
        </is>
      </c>
      <c r="E8" t="inlineStr">
        <is>
          <t>Percentage of All Women at Risk of Unintended Pregnancy Provided a Most Effective or Moderately Effective Method of Contraception: Ages 15 to 20</t>
        </is>
      </c>
      <c r="F8" t="inlineStr">
        <is>
          <t>Higher values are better</t>
        </is>
      </c>
      <c r="G8" t="inlineStr">
        <is>
          <t>Mathematica analysis of the Quality Measure Reporting (QMR) system reports for the FFY 2021 reporting cycle as of June 1, 2023.</t>
        </is>
      </c>
      <c r="H8" t="inlineStr">
        <is>
          <t>State-specific comments: Medicaid rates include FFS and managed care populations (16 MCOs). Rates were audited or validated.</t>
        </is>
      </c>
      <c r="I8" s="4" t="n">
        <v>0.208</v>
      </c>
      <c r="J8" s="4" t="n">
        <v>0.278</v>
      </c>
      <c r="K8" s="4" t="n">
        <v>0.392</v>
      </c>
      <c r="L8" s="4" t="n">
        <v>0.036</v>
      </c>
      <c r="M8" s="4" t="n">
        <v>0.191</v>
      </c>
      <c r="N8" s="4" t="n">
        <v>0.311</v>
      </c>
    </row>
    <row r="9">
      <c r="A9" t="inlineStr">
        <is>
          <t>Most or Moderately Effective Contraceptive</t>
        </is>
      </c>
      <c r="B9" t="n">
        <v>2022</v>
      </c>
      <c r="C9" t="inlineStr">
        <is>
          <t>Medicaid only</t>
        </is>
      </c>
      <c r="D9" t="inlineStr">
        <is>
          <t>Administrative</t>
        </is>
      </c>
      <c r="E9" t="inlineStr">
        <is>
          <t>Percentage of All Women at Risk of Unintended Pregnancy Provided a Most Effective or Moderately Effective Method of Contraception: Ages 15 to 20</t>
        </is>
      </c>
      <c r="F9" t="inlineStr">
        <is>
          <t>Higher values are better</t>
        </is>
      </c>
      <c r="G9" t="inlineStr">
        <is>
          <t>Mathematica analysis of the Quality Measure Reporting (QMR) system reports for the FFY 2022 reporting cycle as of June 1, 2023.</t>
        </is>
      </c>
      <c r="H9" t="inlineStr">
        <is>
          <t>State-specific comments: Medicaid rates include FFS and managed care populations (16 MCOs). Rates were audited or validated.</t>
        </is>
      </c>
      <c r="I9" s="4" t="n">
        <v>0.193</v>
      </c>
      <c r="J9" s="4" t="n">
        <v>0.263</v>
      </c>
      <c r="K9" s="4" t="n">
        <v>0.376</v>
      </c>
      <c r="L9" s="4" t="n">
        <v>0.015</v>
      </c>
      <c r="M9" s="4" t="n">
        <v>0.191</v>
      </c>
      <c r="N9" s="4" t="n">
        <v>0.293</v>
      </c>
    </row>
    <row r="10">
      <c r="A10" t="inlineStr">
        <is>
          <t>Most or Moderately Effective Contraceptive</t>
        </is>
      </c>
      <c r="B10" t="n">
        <v>2023</v>
      </c>
      <c r="C10" t="inlineStr">
        <is>
          <t>Medicaid only</t>
        </is>
      </c>
      <c r="D10" t="inlineStr">
        <is>
          <t>Administrative</t>
        </is>
      </c>
      <c r="E10" t="inlineStr">
        <is>
          <t>Percentage of All Women at Risk of Unintended Pregnancy Provided a Most Effective or Moderately Effective Method of Contraception: Ages 15 to 20</t>
        </is>
      </c>
      <c r="F10" t="inlineStr">
        <is>
          <t>Higher values are better</t>
        </is>
      </c>
      <c r="G10" t="inlineStr">
        <is>
          <t>Mathematica analysis of the Quality Measure Reporting (QMR) system reports for the 2023 Core Set as of May 16, 2024.</t>
        </is>
      </c>
      <c r="H10" t="inlineStr">
        <is>
          <t>State-specific comments: Medicaid rates include FFS and managed care populations (15 MCOs). Rates were audited or validated.</t>
        </is>
      </c>
      <c r="I10" s="4" t="n">
        <v>0.175</v>
      </c>
      <c r="J10" s="4" t="n">
        <v>0.238</v>
      </c>
      <c r="K10" s="4" t="n">
        <v>0.417</v>
      </c>
      <c r="L10" s="4" t="n">
        <v>0.016</v>
      </c>
      <c r="M10" s="4" t="n">
        <v>0.175</v>
      </c>
      <c r="N10" s="4" t="n">
        <v>0.275</v>
      </c>
    </row>
    <row r="11">
      <c r="A11" t="inlineStr">
        <is>
          <t>Most or Moderately Effective Contraceptive</t>
        </is>
      </c>
      <c r="B11" t="n">
        <v>2024</v>
      </c>
      <c r="C11" t="inlineStr">
        <is>
          <t>Medicaid (Title XIX)</t>
        </is>
      </c>
      <c r="D11" t="inlineStr">
        <is>
          <t>Administrative</t>
        </is>
      </c>
      <c r="E11" t="inlineStr">
        <is>
          <t>Percentage of All Women at Risk of Unintended Pregnancy Provided a Most Effective or Moderately Effective Method of Contraception: Ages 15 to 20</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(15 MCOs). State reported that rates exclude the following populations: "New York State received a one-year exemption from reporting for the separate CHIP population for this measure." Rates were audited or validated.</t>
        </is>
      </c>
      <c r="I11" s="4" t="n">
        <v>0.162</v>
      </c>
      <c r="J11" s="4" t="n">
        <v>0.231</v>
      </c>
      <c r="K11" s="4" t="n">
        <v>0.424</v>
      </c>
      <c r="L11" s="4" t="n">
        <v>0.026</v>
      </c>
      <c r="M11" s="4" t="n">
        <v>0.17</v>
      </c>
      <c r="N11" s="4" t="n">
        <v>0.274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8"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Contraceptive Care - All Women Ages 21 to 44 (CCW-AD)</t>
        </is>
      </c>
    </row>
    <row r="2"/>
    <row r="3">
      <c r="A3" s="1" t="inlineStr">
        <is>
          <t>Method of Contraception</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Long-Acting Reversible Method of Contraception</t>
        </is>
      </c>
      <c r="B4" t="n">
        <v>2021</v>
      </c>
      <c r="C4" t="inlineStr">
        <is>
          <t>Medicaid</t>
        </is>
      </c>
      <c r="D4" t="inlineStr">
        <is>
          <t>Administrative</t>
        </is>
      </c>
      <c r="E4" t="inlineStr">
        <is>
          <t>Percentage of All Women at Risk of Unintended Pregnancy Provided a Long-Acting Reversible Method of Contraception: Ages 21 to 44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(63 MCOs). Rates were audited or validated.</t>
        </is>
      </c>
      <c r="I4" s="4" t="n">
        <v>0.038</v>
      </c>
      <c r="J4" s="4" t="n">
        <v>0.047</v>
      </c>
      <c r="K4" s="4" t="n">
        <v>0.101</v>
      </c>
      <c r="L4" s="4" t="n">
        <v>0.025</v>
      </c>
      <c r="M4" s="4" t="n">
        <v>0.038</v>
      </c>
      <c r="N4" s="4" t="n">
        <v>0.06</v>
      </c>
    </row>
    <row r="5">
      <c r="A5" t="inlineStr">
        <is>
          <t>Long-Acting Reversible Method of Contraception</t>
        </is>
      </c>
      <c r="B5" t="n">
        <v>2022</v>
      </c>
      <c r="C5" t="inlineStr">
        <is>
          <t>Medicaid</t>
        </is>
      </c>
      <c r="D5" t="inlineStr">
        <is>
          <t>Administrative</t>
        </is>
      </c>
      <c r="E5" t="inlineStr">
        <is>
          <t>Percentage of All Women at Risk of Unintended Pregnancy Provided a Long-Acting Reversible Method of Contraception: Ages 21 to 44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(64 MCOs). Rates were audited or validated.</t>
        </is>
      </c>
      <c r="I5" s="4" t="n">
        <v>0.035</v>
      </c>
      <c r="J5" s="4" t="n">
        <v>0.043</v>
      </c>
      <c r="K5" s="4" t="n">
        <v>0.194</v>
      </c>
      <c r="L5" s="4" t="n">
        <v>0.003</v>
      </c>
      <c r="M5" s="4" t="n">
        <v>0.035</v>
      </c>
      <c r="N5" s="4" t="n">
        <v>0.058</v>
      </c>
    </row>
    <row r="6">
      <c r="A6" t="inlineStr">
        <is>
          <t>Long-Acting Reversible Method of Contraception</t>
        </is>
      </c>
      <c r="B6" t="n">
        <v>2023</v>
      </c>
      <c r="C6" t="inlineStr">
        <is>
          <t>Medicaid</t>
        </is>
      </c>
      <c r="D6" t="inlineStr">
        <is>
          <t>Administrative</t>
        </is>
      </c>
      <c r="E6" t="inlineStr">
        <is>
          <t>Percentage of All Women at Risk of Unintended Pregnancy Provided a Long-Acting Reversible Method of Contraception: Ages 21 to 44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(61 MCOs). Rates were audited or validated.</t>
        </is>
      </c>
      <c r="I6" s="4" t="n">
        <v>0.032</v>
      </c>
      <c r="J6" s="4" t="n">
        <v>0.036</v>
      </c>
      <c r="K6" s="4" t="n">
        <v>0.161</v>
      </c>
      <c r="L6" s="4" t="n">
        <v>0.002</v>
      </c>
      <c r="M6" s="4" t="n">
        <v>0.031</v>
      </c>
      <c r="N6" s="4" t="n">
        <v>0.048</v>
      </c>
    </row>
    <row r="7">
      <c r="A7" t="inlineStr">
        <is>
          <t>Long-Acting Reversible Method of Contraception</t>
        </is>
      </c>
      <c r="B7" t="n">
        <v>2024</v>
      </c>
      <c r="C7" t="inlineStr">
        <is>
          <t>Medicaid (Title XIX)</t>
        </is>
      </c>
      <c r="D7" t="inlineStr">
        <is>
          <t>Administrative</t>
        </is>
      </c>
      <c r="E7" t="inlineStr">
        <is>
          <t>Percentage of All Women at Risk of Unintended Pregnancy Provided a Long-Acting Reversible Method of Contraception: Ages 21 to 44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(59 MCOs). State reported that rates exclude the following populations: "Excludes the Separate CHIP population." Rates were audited or validated.</t>
        </is>
      </c>
      <c r="I7" s="4" t="n">
        <v>0.019</v>
      </c>
      <c r="J7" s="4" t="n">
        <v>0.037</v>
      </c>
      <c r="K7" s="4" t="n">
        <v>0.056</v>
      </c>
      <c r="L7" s="4" t="n">
        <v>0.002</v>
      </c>
      <c r="M7" s="4" t="n">
        <v>0.031</v>
      </c>
      <c r="N7" s="4" t="n">
        <v>0.043</v>
      </c>
    </row>
    <row r="8">
      <c r="A8" t="inlineStr">
        <is>
          <t>Most or Moderately Effective Contraceptive</t>
        </is>
      </c>
      <c r="B8" t="n">
        <v>2021</v>
      </c>
      <c r="C8" t="inlineStr">
        <is>
          <t>Medicaid</t>
        </is>
      </c>
      <c r="D8" t="inlineStr">
        <is>
          <t>Administrative</t>
        </is>
      </c>
      <c r="E8" t="inlineStr">
        <is>
          <t>Percentage of All Women at Risk of Unintended Pregnancy Provided a Most Effective or Moderately Effective Method of Contraception: Ages 21 to 44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(63 MCOs). Rates were audited or validated.</t>
        </is>
      </c>
      <c r="I8" s="4" t="n">
        <v>0.246</v>
      </c>
      <c r="J8" s="4" t="n">
        <v>0.252</v>
      </c>
      <c r="K8" s="4" t="n">
        <v>0.347</v>
      </c>
      <c r="L8" s="4" t="n">
        <v>0.148</v>
      </c>
      <c r="M8" s="4" t="n">
        <v>0.229</v>
      </c>
      <c r="N8" s="4" t="n">
        <v>0.275</v>
      </c>
    </row>
    <row r="9">
      <c r="A9" t="inlineStr">
        <is>
          <t>Most or Moderately Effective Contraceptive</t>
        </is>
      </c>
      <c r="B9" t="n">
        <v>2022</v>
      </c>
      <c r="C9" t="inlineStr">
        <is>
          <t>Medicaid</t>
        </is>
      </c>
      <c r="D9" t="inlineStr">
        <is>
          <t>Administrative</t>
        </is>
      </c>
      <c r="E9" t="inlineStr">
        <is>
          <t>Percentage of All Women at Risk of Unintended Pregnancy Provided a Most Effective or Moderately Effective Method of Contraception: Ages 21 to 44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(64 MCOs). Rates were audited or validated.</t>
        </is>
      </c>
      <c r="I9" s="4" t="n">
        <v>0.236</v>
      </c>
      <c r="J9" s="4" t="n">
        <v>0.239</v>
      </c>
      <c r="K9" s="4" t="n">
        <v>0.289</v>
      </c>
      <c r="L9" s="4" t="n">
        <v>0.037</v>
      </c>
      <c r="M9" s="4" t="n">
        <v>0.212</v>
      </c>
      <c r="N9" s="4" t="n">
        <v>0.259</v>
      </c>
    </row>
    <row r="10">
      <c r="A10" t="inlineStr">
        <is>
          <t>Most or Moderately Effective Contraceptive</t>
        </is>
      </c>
      <c r="B10" t="n">
        <v>2023</v>
      </c>
      <c r="C10" t="inlineStr">
        <is>
          <t>Medicaid</t>
        </is>
      </c>
      <c r="D10" t="inlineStr">
        <is>
          <t>Administrative</t>
        </is>
      </c>
      <c r="E10" t="inlineStr">
        <is>
          <t>Percentage of All Women at Risk of Unintended Pregnancy Provided a Most Effective or Moderately Effective Method of Contraception: Ages 21 to 44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(61 MCOs). Rates were audited or validated.</t>
        </is>
      </c>
      <c r="I10" s="4" t="n">
        <v>0.216</v>
      </c>
      <c r="J10" s="4" t="n">
        <v>0.214</v>
      </c>
      <c r="K10" s="4" t="n">
        <v>0.274</v>
      </c>
      <c r="L10" s="4" t="n">
        <v>0.034</v>
      </c>
      <c r="M10" s="4" t="n">
        <v>0.201</v>
      </c>
      <c r="N10" s="4" t="n">
        <v>0.235</v>
      </c>
    </row>
    <row r="11">
      <c r="A11" t="inlineStr">
        <is>
          <t>Most or Moderately Effective Contraceptive</t>
        </is>
      </c>
      <c r="B11" t="n">
        <v>2024</v>
      </c>
      <c r="C11" t="inlineStr">
        <is>
          <t>Medicaid (Title XIX)</t>
        </is>
      </c>
      <c r="D11" t="inlineStr">
        <is>
          <t>Administrative</t>
        </is>
      </c>
      <c r="E11" t="inlineStr">
        <is>
          <t>Percentage of All Women at Risk of Unintended Pregnancy Provided a Most Effective or Moderately Effective Method of Contraception: Ages 21 to 44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(59 MCOs). State reported that rates exclude the following populations: "Excludes the Separate CHIP population." Rates were audited or validated.</t>
        </is>
      </c>
      <c r="I11" s="4" t="n">
        <v>0.205</v>
      </c>
      <c r="J11" s="4" t="n">
        <v>0.208</v>
      </c>
      <c r="K11" s="4" t="n">
        <v>0.271</v>
      </c>
      <c r="L11" s="4" t="n">
        <v>0.041</v>
      </c>
      <c r="M11" s="4" t="n">
        <v>0.184</v>
      </c>
      <c r="N11" s="4" t="n">
        <v>0.232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48" customWidth="1" min="1" max="1"/>
    <col width="20" customWidth="1" min="2" max="2"/>
    <col width="13" customWidth="1" min="3" max="3"/>
    <col width="22"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Contraceptive Care - Postpartum Women Ages 15 to 20 (CCP-CH)</t>
        </is>
      </c>
    </row>
    <row r="2">
      <c r="A2" t="inlineStr">
        <is>
          <t>Most or Moderately Effective Contraceptive: 90-Days Postpartum: Due to data source or specification changes, comparisons should only be made within the following Core Set Years: 2021-2022, 2023-2024. See measure information tab for more information.</t>
        </is>
      </c>
      <c r="B2" t="inlineStr"/>
    </row>
    <row r="3">
      <c r="A3" t="inlineStr">
        <is>
          <t>Long-Acting Reversible Method of Contraception: 90-Days Postpartum: Due to data source or specification changes, comparisons should only be made within the following Core Set Years: 2021-2022, 2023-2024. See measure information tab for more information.</t>
        </is>
      </c>
      <c r="B3" t="inlineStr"/>
    </row>
    <row r="4"/>
    <row r="5">
      <c r="A5" s="1" t="inlineStr">
        <is>
          <t>Method of Contraception</t>
        </is>
      </c>
      <c r="B5" s="1" t="inlineStr">
        <is>
          <t>Days Postpartum</t>
        </is>
      </c>
      <c r="C5" s="1" t="inlineStr">
        <is>
          <t>Data Period</t>
        </is>
      </c>
      <c r="D5" s="1" t="inlineStr">
        <is>
          <t>Population</t>
        </is>
      </c>
      <c r="E5" s="1" t="inlineStr">
        <is>
          <t>Methodology</t>
        </is>
      </c>
      <c r="F5" s="1" t="inlineStr">
        <is>
          <t>Value Type</t>
        </is>
      </c>
      <c r="G5" s="1" t="inlineStr">
        <is>
          <t>Value Directionality</t>
        </is>
      </c>
      <c r="H5" s="1" t="inlineStr">
        <is>
          <t>Analysis Source</t>
        </is>
      </c>
      <c r="I5" s="1" t="inlineStr">
        <is>
          <t>Notes</t>
        </is>
      </c>
      <c r="J5" s="1" t="inlineStr">
        <is>
          <t>Value</t>
        </is>
      </c>
      <c r="K5" s="1" t="inlineStr">
        <is>
          <t>Median</t>
        </is>
      </c>
      <c r="L5" s="1" t="inlineStr">
        <is>
          <t>Maximum</t>
        </is>
      </c>
      <c r="M5" s="1" t="inlineStr">
        <is>
          <t>Minimum</t>
        </is>
      </c>
      <c r="N5" s="1" t="inlineStr">
        <is>
          <t>First quartile</t>
        </is>
      </c>
      <c r="O5" s="1" t="inlineStr">
        <is>
          <t>Third quartile</t>
        </is>
      </c>
    </row>
    <row r="6">
      <c r="A6" t="inlineStr">
        <is>
          <t>Long-Acting Reversible Method of Contraception</t>
        </is>
      </c>
      <c r="B6" t="inlineStr">
        <is>
          <t>3-Days Postpartum</t>
        </is>
      </c>
      <c r="C6" t="n">
        <v>2021</v>
      </c>
      <c r="D6" t="inlineStr">
        <is>
          <t>Medicaid only</t>
        </is>
      </c>
      <c r="E6" t="inlineStr">
        <is>
          <t>Administrative</t>
        </is>
      </c>
      <c r="F6" t="inlineStr">
        <is>
          <t>Percentage of Postpartum Women with a Live Birth Provided a Long-Acting Reversible Method of Contraception Within 3 Days of Delivery: Ages 15 to 20</t>
        </is>
      </c>
      <c r="G6" t="inlineStr">
        <is>
          <t>Higher values are better</t>
        </is>
      </c>
      <c r="H6" t="inlineStr">
        <is>
          <t>Mathematica analysis of the Quality Measure Reporting (QMR) system reports for the FFY 2021 reporting cycle as of June 1, 2023.</t>
        </is>
      </c>
      <c r="I6" t="inlineStr">
        <is>
          <t>State-specific comments: Medicaid rates include FFS and managed care populations (16 MCOs). Rates were audited or validated.</t>
        </is>
      </c>
      <c r="J6" s="4" t="n">
        <v>0.057</v>
      </c>
      <c r="K6" s="4" t="n">
        <v>0.031</v>
      </c>
      <c r="L6" s="4" t="n">
        <v>0.135</v>
      </c>
      <c r="M6" s="4" t="n">
        <v>0</v>
      </c>
      <c r="N6" s="4" t="n">
        <v>0.014</v>
      </c>
      <c r="O6" s="4" t="n">
        <v>0.045</v>
      </c>
    </row>
    <row r="7">
      <c r="A7" t="inlineStr">
        <is>
          <t>Long-Acting Reversible Method of Contraception</t>
        </is>
      </c>
      <c r="B7" t="inlineStr">
        <is>
          <t>3-Days Postpartum</t>
        </is>
      </c>
      <c r="C7" t="n">
        <v>2022</v>
      </c>
      <c r="D7" t="inlineStr">
        <is>
          <t>Medicaid only</t>
        </is>
      </c>
      <c r="E7" t="inlineStr">
        <is>
          <t>Administrative</t>
        </is>
      </c>
      <c r="F7" t="inlineStr">
        <is>
          <t>Percentage of Postpartum Women with a Live Birth Provided a Long-Acting Reversible Method of Contraception Within 3 Days of Delivery: Ages 15 to 20</t>
        </is>
      </c>
      <c r="G7" t="inlineStr">
        <is>
          <t>Higher values are better</t>
        </is>
      </c>
      <c r="H7" t="inlineStr">
        <is>
          <t>Mathematica analysis of the Quality Measure Reporting (QMR) system reports for the FFY 2022 reporting cycle as of June 1, 2023.</t>
        </is>
      </c>
      <c r="I7" t="inlineStr">
        <is>
          <t>State-specific comments: Medicaid rates include FFS and managed care populations (16 MCOs). Rates were audited or validated.</t>
        </is>
      </c>
      <c r="J7" s="4" t="n">
        <v>0.046</v>
      </c>
      <c r="K7" s="4" t="n">
        <v>0.031</v>
      </c>
      <c r="L7" s="4" t="n">
        <v>0.091</v>
      </c>
      <c r="M7" s="4" t="n">
        <v>0</v>
      </c>
      <c r="N7" s="4" t="n">
        <v>0.016</v>
      </c>
      <c r="O7" s="4" t="n">
        <v>0.049</v>
      </c>
    </row>
    <row r="8">
      <c r="A8" t="inlineStr">
        <is>
          <t>Long-Acting Reversible Method of Contraception</t>
        </is>
      </c>
      <c r="B8" t="inlineStr">
        <is>
          <t>3-Days Postpartum</t>
        </is>
      </c>
      <c r="C8" t="n">
        <v>2023</v>
      </c>
      <c r="D8" t="inlineStr">
        <is>
          <t>Medicaid only</t>
        </is>
      </c>
      <c r="E8" t="inlineStr">
        <is>
          <t>Administrative</t>
        </is>
      </c>
      <c r="F8" t="inlineStr">
        <is>
          <t>Percentage of Postpartum Women with a Live Birth Provided a Long-Acting Reversible Method of Contraception Within 3 Days of Delivery: Ages 15 to 20</t>
        </is>
      </c>
      <c r="G8" t="inlineStr">
        <is>
          <t>Higher values are better</t>
        </is>
      </c>
      <c r="H8" t="inlineStr">
        <is>
          <t>Mathematica analysis of the Quality Measure Reporting (QMR) system reports for the 2023 Core Set as of May 16, 2024.</t>
        </is>
      </c>
      <c r="I8" t="inlineStr">
        <is>
          <t>State-specific comments: Medicaid rates include FFS and managed care populations (15 MCOs). Rates were audited or validated.</t>
        </is>
      </c>
      <c r="J8" s="4" t="n">
        <v>0.05</v>
      </c>
      <c r="K8" s="4" t="n">
        <v>0.028</v>
      </c>
      <c r="L8" s="4" t="n">
        <v>0.095</v>
      </c>
      <c r="M8" s="4" t="n">
        <v>0</v>
      </c>
      <c r="N8" s="4" t="n">
        <v>0.017</v>
      </c>
      <c r="O8" s="4" t="n">
        <v>0.05</v>
      </c>
    </row>
    <row r="9">
      <c r="A9" t="inlineStr">
        <is>
          <t>Long-Acting Reversible Method of Contraception</t>
        </is>
      </c>
      <c r="B9" t="inlineStr">
        <is>
          <t>3-Days Postpartum</t>
        </is>
      </c>
      <c r="C9" t="n">
        <v>2024</v>
      </c>
      <c r="D9" t="inlineStr">
        <is>
          <t>Medicaid (Title XIX)</t>
        </is>
      </c>
      <c r="E9" t="inlineStr">
        <is>
          <t>Administrative</t>
        </is>
      </c>
      <c r="F9" t="inlineStr">
        <is>
          <t>Percentage of Postpartum Women with a Live Birth Provided a Long-Acting Reversible Method of Contraception Within 3 Days of Delivery: Ages 15 to 20</t>
        </is>
      </c>
      <c r="G9" t="inlineStr">
        <is>
          <t>Higher values are better</t>
        </is>
      </c>
      <c r="H9" t="inlineStr">
        <is>
          <t>Mathematica analysis of the Quality Measure Reporting (QMR) system reports for the 2024 Core Set as of April 28, 2025.</t>
        </is>
      </c>
      <c r="I9" t="inlineStr">
        <is>
          <t>State-specific comments: Rates include FFS and managed care populations (15 MCOs). State reported that rates exclude the following populations: "New York State received a one-year exemption from reporting for the CHIP population for this measure." Rates were audited or validated.</t>
        </is>
      </c>
      <c r="J9" s="4" t="n">
        <v>0.075</v>
      </c>
      <c r="K9" s="4" t="n">
        <v>0.031</v>
      </c>
      <c r="L9" s="4" t="n">
        <v>0.141</v>
      </c>
      <c r="M9" s="4" t="n">
        <v>0</v>
      </c>
      <c r="N9" s="4" t="n">
        <v>0.023</v>
      </c>
      <c r="O9" s="4" t="n">
        <v>0.058</v>
      </c>
    </row>
    <row r="10">
      <c r="A10" t="inlineStr">
        <is>
          <t>Long-Acting Reversible Method of Contraception</t>
        </is>
      </c>
      <c r="B10" t="inlineStr">
        <is>
          <t>60-Days Postpartum</t>
        </is>
      </c>
      <c r="C10" t="n">
        <v>2021</v>
      </c>
      <c r="D10" t="inlineStr">
        <is>
          <t>Medicaid only</t>
        </is>
      </c>
      <c r="E10" t="inlineStr">
        <is>
          <t>Administrative</t>
        </is>
      </c>
      <c r="F10" t="inlineStr">
        <is>
          <t>Percentage of Postpartum Women with a Live Birth Provided a Long-Acting Reversible Method of Contraception Within 60 Days of Delivery: Ages 15 to 20</t>
        </is>
      </c>
      <c r="G10" t="inlineStr">
        <is>
          <t>Higher values are better</t>
        </is>
      </c>
      <c r="H10" t="inlineStr">
        <is>
          <t>Mathematica analysis of the Quality Measure Reporting (QMR) system reports for the FFY 2021 reporting cycle as of June 1, 2023.</t>
        </is>
      </c>
      <c r="I10" t="inlineStr">
        <is>
          <t>State-specific comments: Medicaid rates include FFS and managed care populations (16 MCOs). Rates were audited or validated.</t>
        </is>
      </c>
      <c r="J10" s="4" t="n">
        <v>0.127</v>
      </c>
      <c r="K10" s="4" t="n">
        <v>0.166</v>
      </c>
      <c r="L10" s="4" t="n">
        <v>0.253</v>
      </c>
      <c r="M10" s="4" t="n">
        <v>0.042</v>
      </c>
      <c r="N10" s="4" t="n">
        <v>0.128</v>
      </c>
      <c r="O10" s="4" t="n">
        <v>0.205</v>
      </c>
    </row>
    <row r="11">
      <c r="A11" t="inlineStr">
        <is>
          <t>Long-Acting Reversible Method of Contraception</t>
        </is>
      </c>
      <c r="B11" t="inlineStr">
        <is>
          <t>60-Days Postpartum</t>
        </is>
      </c>
      <c r="C11" t="n">
        <v>2022</v>
      </c>
      <c r="D11" t="inlineStr">
        <is>
          <t>Medicaid only</t>
        </is>
      </c>
      <c r="E11" t="inlineStr">
        <is>
          <t>Administrative</t>
        </is>
      </c>
      <c r="F11" t="inlineStr">
        <is>
          <t>Percentage of Postpartum Women with a Live Birth Provided a Long-Acting Reversible Method of Contraception Within 60 Days of Delivery: Ages 15 to 20</t>
        </is>
      </c>
      <c r="G11" t="inlineStr">
        <is>
          <t>Higher values are better</t>
        </is>
      </c>
      <c r="H11" t="inlineStr">
        <is>
          <t>Mathematica analysis of the Quality Measure Reporting (QMR) system reports for the FFY 2022 reporting cycle as of June 1, 2023.</t>
        </is>
      </c>
      <c r="I11" t="inlineStr">
        <is>
          <t>State-specific comments: Medicaid rates include FFS and managed care populations (16 MCOs). Rates were audited or validated.</t>
        </is>
      </c>
      <c r="J11" s="4" t="n">
        <v>0.121</v>
      </c>
      <c r="K11" s="4" t="n">
        <v>0.153</v>
      </c>
      <c r="L11" s="4" t="n">
        <v>0.25</v>
      </c>
      <c r="M11" s="4" t="n">
        <v>0.013</v>
      </c>
      <c r="N11" s="4" t="n">
        <v>0.121</v>
      </c>
      <c r="O11" s="4" t="n">
        <v>0.18</v>
      </c>
    </row>
    <row r="12">
      <c r="A12" t="inlineStr">
        <is>
          <t>Long-Acting Reversible Method of Contraception</t>
        </is>
      </c>
      <c r="B12" t="inlineStr">
        <is>
          <t>90-Days Postpartum</t>
        </is>
      </c>
      <c r="C12" t="n">
        <v>2023</v>
      </c>
      <c r="D12" t="inlineStr">
        <is>
          <t>Medicaid only</t>
        </is>
      </c>
      <c r="E12" t="inlineStr">
        <is>
          <t>Administrative</t>
        </is>
      </c>
      <c r="F12" t="inlineStr">
        <is>
          <t>Percentage of Postpartum Women with a Live Birth Provided a Long-Acting Reversible Method of Contraception Within 90 Days of Delivery: Ages 15 to 20</t>
        </is>
      </c>
      <c r="G12" t="inlineStr">
        <is>
          <t>Higher values are better</t>
        </is>
      </c>
      <c r="H12" t="inlineStr">
        <is>
          <t>Mathematica analysis of the Quality Measure Reporting (QMR) system reports for the 2023 Core Set as of May 16, 2024.</t>
        </is>
      </c>
      <c r="I12" t="inlineStr">
        <is>
          <t>State-specific comments: Medicaid rates include FFS and managed care populations (15 MCOs). Rates were audited or validated.</t>
        </is>
      </c>
      <c r="J12" s="4" t="n">
        <v>0.168</v>
      </c>
      <c r="K12" s="4" t="n">
        <v>0.181</v>
      </c>
      <c r="L12" s="4" t="n">
        <v>0.276</v>
      </c>
      <c r="M12" s="4" t="n">
        <v>0.073</v>
      </c>
      <c r="N12" s="4" t="n">
        <v>0.155</v>
      </c>
      <c r="O12" s="4" t="n">
        <v>0.21</v>
      </c>
    </row>
    <row r="13">
      <c r="A13" t="inlineStr">
        <is>
          <t>Long-Acting Reversible Method of Contraception</t>
        </is>
      </c>
      <c r="B13" t="inlineStr">
        <is>
          <t>90-Days Postpartum</t>
        </is>
      </c>
      <c r="C13" t="n">
        <v>2024</v>
      </c>
      <c r="D13" t="inlineStr">
        <is>
          <t>Medicaid (Title XIX)</t>
        </is>
      </c>
      <c r="E13" t="inlineStr">
        <is>
          <t>Administrative</t>
        </is>
      </c>
      <c r="F13" t="inlineStr">
        <is>
          <t>Percentage of Postpartum Women with a Live Birth Provided a Long-Acting Reversible Method of Contraception Within 90 Days of Delivery: Ages 15 to 20</t>
        </is>
      </c>
      <c r="G13" t="inlineStr">
        <is>
          <t>Higher values are better</t>
        </is>
      </c>
      <c r="H13" t="inlineStr">
        <is>
          <t>Mathematica analysis of the Quality Measure Reporting (QMR) system reports for the 2024 Core Set as of April 28, 2025.</t>
        </is>
      </c>
      <c r="I13" t="inlineStr">
        <is>
          <t>State-specific comments: Rates include FFS and managed care populations (15 MCOs). State reported that rates exclude the following populations: "New York State received a one-year exemption from reporting for the CHIP population for this measure." Rates were audited or validated.</t>
        </is>
      </c>
      <c r="J13" s="4" t="n">
        <v>0.199</v>
      </c>
      <c r="K13" s="4" t="n">
        <v>0.193</v>
      </c>
      <c r="L13" s="4" t="n">
        <v>0.376</v>
      </c>
      <c r="M13" s="4" t="n">
        <v>0.098</v>
      </c>
      <c r="N13" s="4" t="n">
        <v>0.166</v>
      </c>
      <c r="O13" s="4" t="n">
        <v>0.233</v>
      </c>
    </row>
    <row r="14">
      <c r="A14" t="inlineStr">
        <is>
          <t>Most or Moderately Effective Contraceptive</t>
        </is>
      </c>
      <c r="B14" t="inlineStr">
        <is>
          <t>3-Days Postpartum</t>
        </is>
      </c>
      <c r="C14" t="n">
        <v>2021</v>
      </c>
      <c r="D14" t="inlineStr">
        <is>
          <t>Medicaid only</t>
        </is>
      </c>
      <c r="E14" t="inlineStr">
        <is>
          <t>Administrative</t>
        </is>
      </c>
      <c r="F14" t="inlineStr">
        <is>
          <t>Percentage of Postpartum Women with a Live Birth Provided a Most Effective or Moderately Effective Method of Contraception Within 3 Days of Delivery: Ages 15 to 20</t>
        </is>
      </c>
      <c r="G14" t="inlineStr">
        <is>
          <t>Higher values are better</t>
        </is>
      </c>
      <c r="H14" t="inlineStr">
        <is>
          <t>Mathematica analysis of the Quality Measure Reporting (QMR) system reports for the FFY 2021 reporting cycle as of June 1, 2023.</t>
        </is>
      </c>
      <c r="I14" t="inlineStr">
        <is>
          <t>State-specific comments: Medicaid rates include FFS and managed care populations (16 MCOs). Rates were audited or validated.</t>
        </is>
      </c>
      <c r="J14" s="4" t="n">
        <v>0.1</v>
      </c>
      <c r="K14" s="4" t="n">
        <v>0.056</v>
      </c>
      <c r="L14" s="4" t="n">
        <v>0.202</v>
      </c>
      <c r="M14" s="4" t="n">
        <v>0.015</v>
      </c>
      <c r="N14" s="4" t="n">
        <v>0.031</v>
      </c>
      <c r="O14" s="4" t="n">
        <v>0.092</v>
      </c>
    </row>
    <row r="15">
      <c r="A15" t="inlineStr">
        <is>
          <t>Most or Moderately Effective Contraceptive</t>
        </is>
      </c>
      <c r="B15" t="inlineStr">
        <is>
          <t>3-Days Postpartum</t>
        </is>
      </c>
      <c r="C15" t="n">
        <v>2022</v>
      </c>
      <c r="D15" t="inlineStr">
        <is>
          <t>Medicaid only</t>
        </is>
      </c>
      <c r="E15" t="inlineStr">
        <is>
          <t>Administrative</t>
        </is>
      </c>
      <c r="F15" t="inlineStr">
        <is>
          <t>Percentage of Postpartum Women with a Live Birth Provided a Most Effective or Moderately Effective Method of Contraception Within 3 Days of Delivery: Ages 15 to 20</t>
        </is>
      </c>
      <c r="G15" t="inlineStr">
        <is>
          <t>Higher values are better</t>
        </is>
      </c>
      <c r="H15" t="inlineStr">
        <is>
          <t>Mathematica analysis of the Quality Measure Reporting (QMR) system reports for the FFY 2022 reporting cycle as of June 1, 2023.</t>
        </is>
      </c>
      <c r="I15" t="inlineStr">
        <is>
          <t>State-specific comments: Medicaid rates include FFS and managed care populations (16 MCOs). Rates were audited or validated.</t>
        </is>
      </c>
      <c r="J15" s="4" t="n">
        <v>0.079</v>
      </c>
      <c r="K15" s="4" t="n">
        <v>0.057</v>
      </c>
      <c r="L15" s="4" t="n">
        <v>0.163</v>
      </c>
      <c r="M15" s="4" t="n">
        <v>0.02</v>
      </c>
      <c r="N15" s="4" t="n">
        <v>0.038</v>
      </c>
      <c r="O15" s="4" t="n">
        <v>0.08500000000000001</v>
      </c>
    </row>
    <row r="16">
      <c r="A16" t="inlineStr">
        <is>
          <t>Most or Moderately Effective Contraceptive</t>
        </is>
      </c>
      <c r="B16" t="inlineStr">
        <is>
          <t>3-Days Postpartum</t>
        </is>
      </c>
      <c r="C16" t="n">
        <v>2023</v>
      </c>
      <c r="D16" t="inlineStr">
        <is>
          <t>Medicaid only</t>
        </is>
      </c>
      <c r="E16" t="inlineStr">
        <is>
          <t>Administrative</t>
        </is>
      </c>
      <c r="F16" t="inlineStr">
        <is>
          <t>Percentage of Postpartum Women with a Live Birth Provided a Most Effective or Moderately Effective Method of Contraception Within 3 Days of Delivery: Ages 15 to 20</t>
        </is>
      </c>
      <c r="G16" t="inlineStr">
        <is>
          <t>Higher values are better</t>
        </is>
      </c>
      <c r="H16" t="inlineStr">
        <is>
          <t>Mathematica analysis of the Quality Measure Reporting (QMR) system reports for the 2023 Core Set as of May 16, 2024.</t>
        </is>
      </c>
      <c r="I16" t="inlineStr">
        <is>
          <t>State-specific comments: Medicaid rates include FFS and managed care populations (15 MCOs). Rates were audited or validated.</t>
        </is>
      </c>
      <c r="J16" s="4" t="n">
        <v>0.08500000000000001</v>
      </c>
      <c r="K16" s="4" t="n">
        <v>0.059</v>
      </c>
      <c r="L16" s="4" t="n">
        <v>0.158</v>
      </c>
      <c r="M16" s="4" t="n">
        <v>0</v>
      </c>
      <c r="N16" s="4" t="n">
        <v>0.032</v>
      </c>
      <c r="O16" s="4" t="n">
        <v>0.077</v>
      </c>
    </row>
    <row r="17">
      <c r="A17" t="inlineStr">
        <is>
          <t>Most or Moderately Effective Contraceptive</t>
        </is>
      </c>
      <c r="B17" t="inlineStr">
        <is>
          <t>3-Days Postpartum</t>
        </is>
      </c>
      <c r="C17" t="n">
        <v>2024</v>
      </c>
      <c r="D17" t="inlineStr">
        <is>
          <t>Medicaid (Title XIX)</t>
        </is>
      </c>
      <c r="E17" t="inlineStr">
        <is>
          <t>Administrative</t>
        </is>
      </c>
      <c r="F17" t="inlineStr">
        <is>
          <t>Percentage of Postpartum Women with a Live Birth Provided a Most Effective or Moderately Effective Method of Contraception Within 3 Days of Delivery: Ages 15 to 20</t>
        </is>
      </c>
      <c r="G17" t="inlineStr">
        <is>
          <t>Higher values are better</t>
        </is>
      </c>
      <c r="H17" t="inlineStr">
        <is>
          <t>Mathematica analysis of the Quality Measure Reporting (QMR) system reports for the 2024 Core Set as of April 28, 2025.</t>
        </is>
      </c>
      <c r="I17" t="inlineStr">
        <is>
          <t>State-specific comments: Rates include FFS and managed care populations (15 MCOs). State reported that rates exclude the following populations: "New York State received a one-year exemption from reporting for the CHIP population for this measure." Rates were audited or validated.</t>
        </is>
      </c>
      <c r="J17" s="4" t="n">
        <v>0.095</v>
      </c>
      <c r="K17" s="4" t="n">
        <v>0.058</v>
      </c>
      <c r="L17" s="4" t="n">
        <v>0.201</v>
      </c>
      <c r="M17" s="4" t="n">
        <v>0</v>
      </c>
      <c r="N17" s="4" t="n">
        <v>0.038</v>
      </c>
      <c r="O17" s="4" t="n">
        <v>0.08699999999999999</v>
      </c>
    </row>
    <row r="18">
      <c r="A18" t="inlineStr">
        <is>
          <t>Most or Moderately Effective Contraceptive</t>
        </is>
      </c>
      <c r="B18" t="inlineStr">
        <is>
          <t>60-Days Postpartum</t>
        </is>
      </c>
      <c r="C18" t="n">
        <v>2021</v>
      </c>
      <c r="D18" t="inlineStr">
        <is>
          <t>Medicaid only</t>
        </is>
      </c>
      <c r="E18" t="inlineStr">
        <is>
          <t>Administrative</t>
        </is>
      </c>
      <c r="F18" t="inlineStr">
        <is>
          <t>Percentage of Postpartum Women with a Live Birth Provided a Most Effective or Moderately Effective Method of Contraception Within 60 Days of Delivery: Ages 15 to 20</t>
        </is>
      </c>
      <c r="G18" t="inlineStr">
        <is>
          <t>Higher values are better</t>
        </is>
      </c>
      <c r="H18" t="inlineStr">
        <is>
          <t>Mathematica analysis of the Quality Measure Reporting (QMR) system reports for the FFY 2021 reporting cycle as of June 1, 2023.</t>
        </is>
      </c>
      <c r="I18" t="inlineStr">
        <is>
          <t>State-specific comments: Medicaid rates include FFS and managed care populations (16 MCOs). Rates were audited or validated.</t>
        </is>
      </c>
      <c r="J18" s="4" t="n">
        <v>0.394</v>
      </c>
      <c r="K18" s="4" t="n">
        <v>0.402</v>
      </c>
      <c r="L18" s="4" t="n">
        <v>0.5659999999999999</v>
      </c>
      <c r="M18" s="4" t="n">
        <v>0.191</v>
      </c>
      <c r="N18" s="4" t="n">
        <v>0.341</v>
      </c>
      <c r="O18" s="4" t="n">
        <v>0.468</v>
      </c>
    </row>
    <row r="19">
      <c r="A19" t="inlineStr">
        <is>
          <t>Most or Moderately Effective Contraceptive</t>
        </is>
      </c>
      <c r="B19" t="inlineStr">
        <is>
          <t>60-Days Postpartum</t>
        </is>
      </c>
      <c r="C19" t="n">
        <v>2022</v>
      </c>
      <c r="D19" t="inlineStr">
        <is>
          <t>Medicaid only</t>
        </is>
      </c>
      <c r="E19" t="inlineStr">
        <is>
          <t>Administrative</t>
        </is>
      </c>
      <c r="F19" t="inlineStr">
        <is>
          <t>Percentage of Postpartum Women with a Live Birth Provided a Most Effective or Moderately Effective Method of Contraception Within 60 Days of Delivery: Ages 15 to 20</t>
        </is>
      </c>
      <c r="G19" t="inlineStr">
        <is>
          <t>Higher values are better</t>
        </is>
      </c>
      <c r="H19" t="inlineStr">
        <is>
          <t>Mathematica analysis of the Quality Measure Reporting (QMR) system reports for the FFY 2022 reporting cycle as of June 1, 2023.</t>
        </is>
      </c>
      <c r="I19" t="inlineStr">
        <is>
          <t>State-specific comments: Medicaid rates include FFS and managed care populations (16 MCOs). Rates were audited or validated.</t>
        </is>
      </c>
      <c r="J19" s="4" t="n">
        <v>0.371</v>
      </c>
      <c r="K19" s="4" t="n">
        <v>0.394</v>
      </c>
      <c r="L19" s="4" t="n">
        <v>0.478</v>
      </c>
      <c r="M19" s="4" t="n">
        <v>0.13</v>
      </c>
      <c r="N19" s="4" t="n">
        <v>0.341</v>
      </c>
      <c r="O19" s="4" t="n">
        <v>0.442</v>
      </c>
    </row>
    <row r="20">
      <c r="A20" t="inlineStr">
        <is>
          <t>Most or Moderately Effective Contraceptive</t>
        </is>
      </c>
      <c r="B20" t="inlineStr">
        <is>
          <t>90-Days Postpartum</t>
        </is>
      </c>
      <c r="C20" t="n">
        <v>2023</v>
      </c>
      <c r="D20" t="inlineStr">
        <is>
          <t>Medicaid only</t>
        </is>
      </c>
      <c r="E20" t="inlineStr">
        <is>
          <t>Administrative</t>
        </is>
      </c>
      <c r="F20" t="inlineStr">
        <is>
          <t>Percentage of Postpartum Women with a Live Birth Provided a Most Effective or Moderately Effective Method of Contraception Within 90 Days of Delivery: Ages 15 to 20</t>
        </is>
      </c>
      <c r="G20" t="inlineStr">
        <is>
          <t>Higher values are better</t>
        </is>
      </c>
      <c r="H20" t="inlineStr">
        <is>
          <t>Mathematica analysis of the Quality Measure Reporting (QMR) system reports for the 2023 Core Set as of May 16, 2024.</t>
        </is>
      </c>
      <c r="I20" t="inlineStr">
        <is>
          <t>State-specific comments: Medicaid rates include FFS and managed care populations (15 MCOs). Rates were audited or validated.</t>
        </is>
      </c>
      <c r="J20" s="4" t="n">
        <v>0.473</v>
      </c>
      <c r="K20" s="4" t="n">
        <v>0.453</v>
      </c>
      <c r="L20" s="4" t="n">
        <v>0.5669999999999999</v>
      </c>
      <c r="M20" s="4" t="n">
        <v>0.093</v>
      </c>
      <c r="N20" s="4" t="n">
        <v>0.402</v>
      </c>
      <c r="O20" s="4" t="n">
        <v>0.519</v>
      </c>
    </row>
    <row r="21">
      <c r="A21" t="inlineStr">
        <is>
          <t>Most or Moderately Effective Contraceptive</t>
        </is>
      </c>
      <c r="B21" t="inlineStr">
        <is>
          <t>90-Days Postpartum</t>
        </is>
      </c>
      <c r="C21" t="n">
        <v>2024</v>
      </c>
      <c r="D21" t="inlineStr">
        <is>
          <t>Medicaid (Title XIX)</t>
        </is>
      </c>
      <c r="E21" t="inlineStr">
        <is>
          <t>Administrative</t>
        </is>
      </c>
      <c r="F21" t="inlineStr">
        <is>
          <t>Percentage of Postpartum Women with a Live Birth Provided a Most Effective or Moderately Effective Method of Contraception Within 90 Days of Delivery: Ages 15 to 20</t>
        </is>
      </c>
      <c r="G21" t="inlineStr">
        <is>
          <t>Higher values are better</t>
        </is>
      </c>
      <c r="H21" t="inlineStr">
        <is>
          <t>Mathematica analysis of the Quality Measure Reporting (QMR) system reports for the 2024 Core Set as of April 28, 2025.</t>
        </is>
      </c>
      <c r="I21" t="inlineStr">
        <is>
          <t>State-specific comments: Rates include FFS and managed care populations (15 MCOs). State reported that rates exclude the following populations: "New York State received a one-year exemption from reporting for the CHIP population for this measure." Rates were audited or validated.</t>
        </is>
      </c>
      <c r="J21" s="4" t="n">
        <v>0.472</v>
      </c>
      <c r="K21" s="4" t="n">
        <v>0.474</v>
      </c>
      <c r="L21" s="4" t="n">
        <v>0.696</v>
      </c>
      <c r="M21" s="4" t="n">
        <v>0.316</v>
      </c>
      <c r="N21" s="4" t="n">
        <v>0.431</v>
      </c>
      <c r="O21" s="4" t="n">
        <v>0.516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48" customWidth="1" min="1" max="1"/>
    <col width="20" customWidth="1" min="2" max="2"/>
    <col width="13" customWidth="1" min="3" max="3"/>
    <col width="22"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Contraceptive Care - Postpartum Women Ages 21 to 44 (CCP-AD)</t>
        </is>
      </c>
    </row>
    <row r="2">
      <c r="A2" t="inlineStr">
        <is>
          <t>Most or Moderately Effective Contraceptive: 90-Days Postpartum: Due to data source or specification changes, comparisons should only be made within the following Core Set Years: 2021-2022, 2023-2024. See measure information tab for more information.</t>
        </is>
      </c>
      <c r="B2" t="inlineStr"/>
    </row>
    <row r="3">
      <c r="A3" t="inlineStr">
        <is>
          <t>Long-Acting Reversible Method of Contraception: 90-Days Postpartum: Due to data source or specification changes, comparisons should only be made within the following Core Set Years: 2021-2022, 2023-2024. See measure information tab for more information.</t>
        </is>
      </c>
      <c r="B3" t="inlineStr"/>
    </row>
    <row r="4"/>
    <row r="5">
      <c r="A5" s="1" t="inlineStr">
        <is>
          <t>Method of Contraception</t>
        </is>
      </c>
      <c r="B5" s="1" t="inlineStr">
        <is>
          <t>Days Postpartum</t>
        </is>
      </c>
      <c r="C5" s="1" t="inlineStr">
        <is>
          <t>Data Period</t>
        </is>
      </c>
      <c r="D5" s="1" t="inlineStr">
        <is>
          <t>Population</t>
        </is>
      </c>
      <c r="E5" s="1" t="inlineStr">
        <is>
          <t>Methodology</t>
        </is>
      </c>
      <c r="F5" s="1" t="inlineStr">
        <is>
          <t>Value Type</t>
        </is>
      </c>
      <c r="G5" s="1" t="inlineStr">
        <is>
          <t>Value Directionality</t>
        </is>
      </c>
      <c r="H5" s="1" t="inlineStr">
        <is>
          <t>Analysis Source</t>
        </is>
      </c>
      <c r="I5" s="1" t="inlineStr">
        <is>
          <t>Notes</t>
        </is>
      </c>
      <c r="J5" s="1" t="inlineStr">
        <is>
          <t>Value</t>
        </is>
      </c>
      <c r="K5" s="1" t="inlineStr">
        <is>
          <t>Median</t>
        </is>
      </c>
      <c r="L5" s="1" t="inlineStr">
        <is>
          <t>Maximum</t>
        </is>
      </c>
      <c r="M5" s="1" t="inlineStr">
        <is>
          <t>Minimum</t>
        </is>
      </c>
      <c r="N5" s="1" t="inlineStr">
        <is>
          <t>First quartile</t>
        </is>
      </c>
      <c r="O5" s="1" t="inlineStr">
        <is>
          <t>Third quartile</t>
        </is>
      </c>
    </row>
    <row r="6">
      <c r="A6" t="inlineStr">
        <is>
          <t>Long-Acting Reversible Method of Contraception</t>
        </is>
      </c>
      <c r="B6" t="inlineStr">
        <is>
          <t>3-Days Postpartum</t>
        </is>
      </c>
      <c r="C6" t="n">
        <v>2021</v>
      </c>
      <c r="D6" t="inlineStr">
        <is>
          <t>Medicaid</t>
        </is>
      </c>
      <c r="E6" t="inlineStr">
        <is>
          <t>Administrative</t>
        </is>
      </c>
      <c r="F6" t="inlineStr">
        <is>
          <t>Percentage of Postpartum Women with a Live Birth Provided a Long-Acting Reversible Method of Contraception Within 3 Days of Delivery: Ages 21 to 44</t>
        </is>
      </c>
      <c r="G6" t="inlineStr">
        <is>
          <t>Higher values are better</t>
        </is>
      </c>
      <c r="H6" t="inlineStr">
        <is>
          <t>Mathematica analysis of the Quality Measure Reporting (QMR) system reports for the FFY 2021 reporting cycle as of June 1, 2023.</t>
        </is>
      </c>
      <c r="I6" t="inlineStr">
        <is>
          <t>State-specific comments: Rates include FFS and managed care populations (42 MCOs). Rates were audited or validated.</t>
        </is>
      </c>
      <c r="J6" s="4" t="n">
        <v>0.046</v>
      </c>
      <c r="K6" s="4" t="n">
        <v>0.023</v>
      </c>
      <c r="L6" s="4" t="n">
        <v>0.111</v>
      </c>
      <c r="M6" s="4" t="n">
        <v>0</v>
      </c>
      <c r="N6" s="4" t="n">
        <v>0.008</v>
      </c>
      <c r="O6" s="4" t="n">
        <v>0.037</v>
      </c>
    </row>
    <row r="7">
      <c r="A7" t="inlineStr">
        <is>
          <t>Long-Acting Reversible Method of Contraception</t>
        </is>
      </c>
      <c r="B7" t="inlineStr">
        <is>
          <t>3-Days Postpartum</t>
        </is>
      </c>
      <c r="C7" t="n">
        <v>2022</v>
      </c>
      <c r="D7" t="inlineStr">
        <is>
          <t>Medicaid</t>
        </is>
      </c>
      <c r="E7" t="inlineStr">
        <is>
          <t>Administrative</t>
        </is>
      </c>
      <c r="F7" t="inlineStr">
        <is>
          <t>Percentage of Postpartum Women with a Live Birth Provided a Long-Acting Reversible Method of Contraception Within 3 Days of Delivery: Ages 21 to 44</t>
        </is>
      </c>
      <c r="G7" t="inlineStr">
        <is>
          <t>Higher values are better</t>
        </is>
      </c>
      <c r="H7" t="inlineStr">
        <is>
          <t>Mathematica analysis of the Quality Measure Reporting (QMR) system reports for the FFY 2022 reporting cycle as of June 1, 2023.</t>
        </is>
      </c>
      <c r="I7" t="inlineStr">
        <is>
          <t>State-specific comments: Rates include FFS and managed care populations (41 MCOs). Rates were audited or validated.</t>
        </is>
      </c>
      <c r="J7" s="4" t="n">
        <v>0.044</v>
      </c>
      <c r="K7" s="4" t="n">
        <v>0.021</v>
      </c>
      <c r="L7" s="4" t="n">
        <v>0.096</v>
      </c>
      <c r="M7" s="4" t="n">
        <v>0.001</v>
      </c>
      <c r="N7" s="4" t="n">
        <v>0.008999999999999999</v>
      </c>
      <c r="O7" s="4" t="n">
        <v>0.03</v>
      </c>
    </row>
    <row r="8">
      <c r="A8" t="inlineStr">
        <is>
          <t>Long-Acting Reversible Method of Contraception</t>
        </is>
      </c>
      <c r="B8" t="inlineStr">
        <is>
          <t>3-Days Postpartum</t>
        </is>
      </c>
      <c r="C8" t="n">
        <v>2023</v>
      </c>
      <c r="D8" t="inlineStr">
        <is>
          <t>Medicaid</t>
        </is>
      </c>
      <c r="E8" t="inlineStr">
        <is>
          <t>Administrative</t>
        </is>
      </c>
      <c r="F8" t="inlineStr">
        <is>
          <t>Percentage of Postpartum Women with a Live Birth Provided a Long-Acting Reversible Method of Contraception Within 3 Days of Delivery: Ages 21 to 44</t>
        </is>
      </c>
      <c r="G8" t="inlineStr">
        <is>
          <t>Higher values are better</t>
        </is>
      </c>
      <c r="H8" t="inlineStr">
        <is>
          <t>Mathematica analysis of the Quality Measure Reporting (QMR) system reports for the 2023 Core Set as of May 16, 2024.</t>
        </is>
      </c>
      <c r="I8" t="inlineStr">
        <is>
          <t>State-specific comments: Rates include FFS and managed care populations (36 MCOs). Rates were audited or validated.</t>
        </is>
      </c>
      <c r="J8" s="4" t="n">
        <v>0.045</v>
      </c>
      <c r="K8" s="4" t="n">
        <v>0.021</v>
      </c>
      <c r="L8" s="4" t="n">
        <v>0.076</v>
      </c>
      <c r="M8" s="4" t="n">
        <v>0.002</v>
      </c>
      <c r="N8" s="4" t="n">
        <v>0.01</v>
      </c>
      <c r="O8" s="4" t="n">
        <v>0.032</v>
      </c>
    </row>
    <row r="9">
      <c r="A9" t="inlineStr">
        <is>
          <t>Long-Acting Reversible Method of Contraception</t>
        </is>
      </c>
      <c r="B9" t="inlineStr">
        <is>
          <t>3-Days Postpartum</t>
        </is>
      </c>
      <c r="C9" t="n">
        <v>2024</v>
      </c>
      <c r="D9" t="inlineStr">
        <is>
          <t>Medicaid (Title XIX)</t>
        </is>
      </c>
      <c r="E9" t="inlineStr">
        <is>
          <t>Administrative</t>
        </is>
      </c>
      <c r="F9" t="inlineStr">
        <is>
          <t>Percentage of Postpartum Women with a Live Birth Provided a Long-Acting Reversible Method of Contraception Within 3 Days of Delivery: Ages 21 to 44</t>
        </is>
      </c>
      <c r="G9" t="inlineStr">
        <is>
          <t>Higher values are better</t>
        </is>
      </c>
      <c r="H9" t="inlineStr">
        <is>
          <t>Mathematica analysis of the Quality Measure Reporting (QMR) system reports for the 2024 Core Set as of April 28, 2025.</t>
        </is>
      </c>
      <c r="I9" t="inlineStr">
        <is>
          <t>State-specific comments: Rates include FFS and managed care populations (36 MCOs). Rates were audited or validated.</t>
        </is>
      </c>
      <c r="J9" s="4" t="n">
        <v>0.053</v>
      </c>
      <c r="K9" s="4" t="n">
        <v>0.021</v>
      </c>
      <c r="L9" s="4" t="n">
        <v>0.08500000000000001</v>
      </c>
      <c r="M9" s="4" t="n">
        <v>0.001</v>
      </c>
      <c r="N9" s="4" t="n">
        <v>0.014</v>
      </c>
      <c r="O9" s="4" t="n">
        <v>0.036</v>
      </c>
    </row>
    <row r="10">
      <c r="A10" t="inlineStr">
        <is>
          <t>Long-Acting Reversible Method of Contraception</t>
        </is>
      </c>
      <c r="B10" t="inlineStr">
        <is>
          <t>60-Days Postpartum</t>
        </is>
      </c>
      <c r="C10" t="n">
        <v>2021</v>
      </c>
      <c r="D10" t="inlineStr">
        <is>
          <t>Medicaid</t>
        </is>
      </c>
      <c r="E10" t="inlineStr">
        <is>
          <t>Administrative</t>
        </is>
      </c>
      <c r="F10" t="inlineStr">
        <is>
          <t>Percentage of Postpartum Women with a Live Birth Provided a Long-Acting Reversible Method of Contraception Within 60 Days of Delivery: Ages 21 to 44</t>
        </is>
      </c>
      <c r="G10" t="inlineStr">
        <is>
          <t>Higher values are better</t>
        </is>
      </c>
      <c r="H10" t="inlineStr">
        <is>
          <t>Mathematica analysis of the Quality Measure Reporting (QMR) system reports for the FFY 2021 reporting cycle as of June 1, 2023.</t>
        </is>
      </c>
      <c r="I10" t="inlineStr">
        <is>
          <t>State-specific comments: Rates include FFS and managed care populations (42 MCOs). Rates were audited or validated.</t>
        </is>
      </c>
      <c r="J10" s="4" t="n">
        <v>0.107</v>
      </c>
      <c r="K10" s="4" t="n">
        <v>0.124</v>
      </c>
      <c r="L10" s="4" t="n">
        <v>0.185</v>
      </c>
      <c r="M10" s="4" t="n">
        <v>0.042</v>
      </c>
      <c r="N10" s="4" t="n">
        <v>0.1</v>
      </c>
      <c r="O10" s="4" t="n">
        <v>0.142</v>
      </c>
    </row>
    <row r="11">
      <c r="A11" t="inlineStr">
        <is>
          <t>Long-Acting Reversible Method of Contraception</t>
        </is>
      </c>
      <c r="B11" t="inlineStr">
        <is>
          <t>60-Days Postpartum</t>
        </is>
      </c>
      <c r="C11" t="n">
        <v>2022</v>
      </c>
      <c r="D11" t="inlineStr">
        <is>
          <t>Medicaid</t>
        </is>
      </c>
      <c r="E11" t="inlineStr">
        <is>
          <t>Administrative</t>
        </is>
      </c>
      <c r="F11" t="inlineStr">
        <is>
          <t>Percentage of Postpartum Women with a Live Birth Provided a Long-Acting Reversible Method of Contraception Within 60 Days of Delivery: Ages 21 to 44</t>
        </is>
      </c>
      <c r="G11" t="inlineStr">
        <is>
          <t>Higher values are better</t>
        </is>
      </c>
      <c r="H11" t="inlineStr">
        <is>
          <t>Mathematica analysis of the Quality Measure Reporting (QMR) system reports for the FFY 2022 reporting cycle as of June 1, 2023.</t>
        </is>
      </c>
      <c r="I11" t="inlineStr">
        <is>
          <t>State-specific comments: Rates include FFS and managed care populations (41 MCOs). Rates were audited or validated.</t>
        </is>
      </c>
      <c r="J11" s="4" t="n">
        <v>0.105</v>
      </c>
      <c r="K11" s="4" t="n">
        <v>0.117</v>
      </c>
      <c r="L11" s="4" t="n">
        <v>0.214</v>
      </c>
      <c r="M11" s="4" t="n">
        <v>0.006</v>
      </c>
      <c r="N11" s="4" t="n">
        <v>0.091</v>
      </c>
      <c r="O11" s="4" t="n">
        <v>0.139</v>
      </c>
    </row>
    <row r="12">
      <c r="A12" t="inlineStr">
        <is>
          <t>Long-Acting Reversible Method of Contraception</t>
        </is>
      </c>
      <c r="B12" t="inlineStr">
        <is>
          <t>90-Days Postpartum</t>
        </is>
      </c>
      <c r="C12" t="n">
        <v>2023</v>
      </c>
      <c r="D12" t="inlineStr">
        <is>
          <t>Medicaid</t>
        </is>
      </c>
      <c r="E12" t="inlineStr">
        <is>
          <t>Administrative</t>
        </is>
      </c>
      <c r="F12" t="inlineStr">
        <is>
          <t>Percentage of Postpartum Women with a Live Birth Provided a Long-Acting Reversible Method of Contraception Within 90 Days of Delivery: Ages 21 to 44</t>
        </is>
      </c>
      <c r="G12" t="inlineStr">
        <is>
          <t>Higher values are better</t>
        </is>
      </c>
      <c r="H12" t="inlineStr">
        <is>
          <t>Mathematica analysis of the Quality Measure Reporting (QMR) system reports for the 2023 Core Set as of May 16, 2024.</t>
        </is>
      </c>
      <c r="I12" t="inlineStr">
        <is>
          <t>State-specific comments: Rates include FFS and managed care populations (36 MCOs). Rates were audited or validated.</t>
        </is>
      </c>
      <c r="J12" s="4" t="n">
        <v>0.144</v>
      </c>
      <c r="K12" s="4" t="n">
        <v>0.138</v>
      </c>
      <c r="L12" s="4" t="n">
        <v>0.21</v>
      </c>
      <c r="M12" s="4" t="n">
        <v>0.01</v>
      </c>
      <c r="N12" s="4" t="n">
        <v>0.11</v>
      </c>
      <c r="O12" s="4" t="n">
        <v>0.152</v>
      </c>
    </row>
    <row r="13">
      <c r="A13" t="inlineStr">
        <is>
          <t>Long-Acting Reversible Method of Contraception</t>
        </is>
      </c>
      <c r="B13" t="inlineStr">
        <is>
          <t>90-Days Postpartum</t>
        </is>
      </c>
      <c r="C13" t="n">
        <v>2024</v>
      </c>
      <c r="D13" t="inlineStr">
        <is>
          <t>Medicaid (Title XIX)</t>
        </is>
      </c>
      <c r="E13" t="inlineStr">
        <is>
          <t>Administrative</t>
        </is>
      </c>
      <c r="F13" t="inlineStr">
        <is>
          <t>Percentage of Postpartum Women with a Live Birth Provided a Long-Acting Reversible Method of Contraception Within 90 Days of Delivery: Ages 21 to 44</t>
        </is>
      </c>
      <c r="G13" t="inlineStr">
        <is>
          <t>Higher values are better</t>
        </is>
      </c>
      <c r="H13" t="inlineStr">
        <is>
          <t>Mathematica analysis of the Quality Measure Reporting (QMR) system reports for the 2024 Core Set as of April 28, 2025.</t>
        </is>
      </c>
      <c r="I13" t="inlineStr">
        <is>
          <t>State-specific comments: Rates include FFS and managed care populations (36 MCOs). Rates were audited or validated.</t>
        </is>
      </c>
      <c r="J13" s="4" t="n">
        <v>0.144</v>
      </c>
      <c r="K13" s="4" t="n">
        <v>0.141</v>
      </c>
      <c r="L13" s="4" t="n">
        <v>0.194</v>
      </c>
      <c r="M13" s="4" t="n">
        <v>0.091</v>
      </c>
      <c r="N13" s="4" t="n">
        <v>0.115</v>
      </c>
      <c r="O13" s="4" t="n">
        <v>0.163</v>
      </c>
    </row>
    <row r="14">
      <c r="A14" t="inlineStr">
        <is>
          <t>Most or Moderately Effective Contraceptive</t>
        </is>
      </c>
      <c r="B14" t="inlineStr">
        <is>
          <t>3-Days Postpartum</t>
        </is>
      </c>
      <c r="C14" t="n">
        <v>2021</v>
      </c>
      <c r="D14" t="inlineStr">
        <is>
          <t>Medicaid</t>
        </is>
      </c>
      <c r="E14" t="inlineStr">
        <is>
          <t>Administrative</t>
        </is>
      </c>
      <c r="F14" t="inlineStr">
        <is>
          <t>Percentage of Postpartum Women with a Live Birth Provided a Most Effective or Moderately Effective Method of Contraception Within 3 Days of Delivery: Ages 21 to 44</t>
        </is>
      </c>
      <c r="G14" t="inlineStr">
        <is>
          <t>Higher values are better</t>
        </is>
      </c>
      <c r="H14" t="inlineStr">
        <is>
          <t>Mathematica analysis of the Quality Measure Reporting (QMR) system reports for the FFY 2021 reporting cycle as of June 1, 2023.</t>
        </is>
      </c>
      <c r="I14" t="inlineStr">
        <is>
          <t>State-specific comments: Rates include FFS and managed care populations (42 MCOs). Rates were audited or validated.</t>
        </is>
      </c>
      <c r="J14" s="4" t="n">
        <v>0.13</v>
      </c>
      <c r="K14" s="4" t="n">
        <v>0.118</v>
      </c>
      <c r="L14" s="4" t="n">
        <v>0.351</v>
      </c>
      <c r="M14" s="4" t="n">
        <v>0.058</v>
      </c>
      <c r="N14" s="4" t="n">
        <v>0.096</v>
      </c>
      <c r="O14" s="4" t="n">
        <v>0.151</v>
      </c>
    </row>
    <row r="15">
      <c r="A15" t="inlineStr">
        <is>
          <t>Most or Moderately Effective Contraceptive</t>
        </is>
      </c>
      <c r="B15" t="inlineStr">
        <is>
          <t>3-Days Postpartum</t>
        </is>
      </c>
      <c r="C15" t="n">
        <v>2022</v>
      </c>
      <c r="D15" t="inlineStr">
        <is>
          <t>Medicaid</t>
        </is>
      </c>
      <c r="E15" t="inlineStr">
        <is>
          <t>Administrative</t>
        </is>
      </c>
      <c r="F15" t="inlineStr">
        <is>
          <t>Percentage of Postpartum Women with a Live Birth Provided a Most Effective or Moderately Effective Method of Contraception Within 3 Days of Delivery: Ages 21 to 44</t>
        </is>
      </c>
      <c r="G15" t="inlineStr">
        <is>
          <t>Higher values are better</t>
        </is>
      </c>
      <c r="H15" t="inlineStr">
        <is>
          <t>Mathematica analysis of the Quality Measure Reporting (QMR) system reports for the FFY 2022 reporting cycle as of June 1, 2023.</t>
        </is>
      </c>
      <c r="I15" t="inlineStr">
        <is>
          <t>State-specific comments: Rates include FFS and managed care populations (41 MCOs). Rates were audited or validated.</t>
        </is>
      </c>
      <c r="J15" s="4" t="n">
        <v>0.125</v>
      </c>
      <c r="K15" s="4" t="n">
        <v>0.117</v>
      </c>
      <c r="L15" s="4" t="n">
        <v>0.271</v>
      </c>
      <c r="M15" s="4" t="n">
        <v>0.056</v>
      </c>
      <c r="N15" s="4" t="n">
        <v>0.08699999999999999</v>
      </c>
      <c r="O15" s="4" t="n">
        <v>0.136</v>
      </c>
    </row>
    <row r="16">
      <c r="A16" t="inlineStr">
        <is>
          <t>Most or Moderately Effective Contraceptive</t>
        </is>
      </c>
      <c r="B16" t="inlineStr">
        <is>
          <t>3-Days Postpartum</t>
        </is>
      </c>
      <c r="C16" t="n">
        <v>2023</v>
      </c>
      <c r="D16" t="inlineStr">
        <is>
          <t>Medicaid</t>
        </is>
      </c>
      <c r="E16" t="inlineStr">
        <is>
          <t>Administrative</t>
        </is>
      </c>
      <c r="F16" t="inlineStr">
        <is>
          <t>Percentage of Postpartum Women with a Live Birth Provided a Most Effective or Moderately Effective Method of Contraception Within 3 Days of Delivery: Ages 21 to 44</t>
        </is>
      </c>
      <c r="G16" t="inlineStr">
        <is>
          <t>Higher values are better</t>
        </is>
      </c>
      <c r="H16" t="inlineStr">
        <is>
          <t>Mathematica analysis of the Quality Measure Reporting (QMR) system reports for the 2023 Core Set as of May 16, 2024.</t>
        </is>
      </c>
      <c r="I16" t="inlineStr">
        <is>
          <t>State-specific comments: Rates include FFS and managed care populations (36 MCOs). Rates were audited or validated.</t>
        </is>
      </c>
      <c r="J16" s="4" t="n">
        <v>0.124</v>
      </c>
      <c r="K16" s="4" t="n">
        <v>0.111</v>
      </c>
      <c r="L16" s="4" t="n">
        <v>0.227</v>
      </c>
      <c r="M16" s="4" t="n">
        <v>0.051</v>
      </c>
      <c r="N16" s="4" t="n">
        <v>0.092</v>
      </c>
      <c r="O16" s="4" t="n">
        <v>0.125</v>
      </c>
    </row>
    <row r="17">
      <c r="A17" t="inlineStr">
        <is>
          <t>Most or Moderately Effective Contraceptive</t>
        </is>
      </c>
      <c r="B17" t="inlineStr">
        <is>
          <t>3-Days Postpartum</t>
        </is>
      </c>
      <c r="C17" t="n">
        <v>2024</v>
      </c>
      <c r="D17" t="inlineStr">
        <is>
          <t>Medicaid (Title XIX)</t>
        </is>
      </c>
      <c r="E17" t="inlineStr">
        <is>
          <t>Administrative</t>
        </is>
      </c>
      <c r="F17" t="inlineStr">
        <is>
          <t>Percentage of Postpartum Women with a Live Birth Provided a Most Effective or Moderately Effective Method of Contraception Within 3 Days of Delivery: Ages 21 to 44</t>
        </is>
      </c>
      <c r="G17" t="inlineStr">
        <is>
          <t>Higher values are better</t>
        </is>
      </c>
      <c r="H17" t="inlineStr">
        <is>
          <t>Mathematica analysis of the Quality Measure Reporting (QMR) system reports for the 2024 Core Set as of April 28, 2025.</t>
        </is>
      </c>
      <c r="I17" t="inlineStr">
        <is>
          <t>State-specific comments: Rates include FFS and managed care populations (36 MCOs). Rates were audited or validated.</t>
        </is>
      </c>
      <c r="J17" s="4" t="n">
        <v>0.121</v>
      </c>
      <c r="K17" s="4" t="n">
        <v>0.115</v>
      </c>
      <c r="L17" s="4" t="n">
        <v>0.165</v>
      </c>
      <c r="M17" s="4" t="n">
        <v>0.015</v>
      </c>
      <c r="N17" s="4" t="n">
        <v>0.091</v>
      </c>
      <c r="O17" s="4" t="n">
        <v>0.123</v>
      </c>
    </row>
    <row r="18">
      <c r="A18" t="inlineStr">
        <is>
          <t>Most or Moderately Effective Contraceptive</t>
        </is>
      </c>
      <c r="B18" t="inlineStr">
        <is>
          <t>60-Days Postpartum</t>
        </is>
      </c>
      <c r="C18" t="n">
        <v>2021</v>
      </c>
      <c r="D18" t="inlineStr">
        <is>
          <t>Medicaid</t>
        </is>
      </c>
      <c r="E18" t="inlineStr">
        <is>
          <t>Administrative</t>
        </is>
      </c>
      <c r="F18" t="inlineStr">
        <is>
          <t>Percentage of Postpartum Women with a Live Birth Provided a Most Effective or Moderately Effective Method of Contraception Within 60 Days of Delivery: Ages 21 to 44</t>
        </is>
      </c>
      <c r="G18" t="inlineStr">
        <is>
          <t>Higher values are better</t>
        </is>
      </c>
      <c r="H18" t="inlineStr">
        <is>
          <t>Mathematica analysis of the Quality Measure Reporting (QMR) system reports for the FFY 2021 reporting cycle as of June 1, 2023.</t>
        </is>
      </c>
      <c r="I18" t="inlineStr">
        <is>
          <t>State-specific comments: Rates include FFS and managed care populations (42 MCOs). Rates were audited or validated.</t>
        </is>
      </c>
      <c r="J18" s="4" t="n">
        <v>0.379</v>
      </c>
      <c r="K18" s="4" t="n">
        <v>0.421</v>
      </c>
      <c r="L18" s="4" t="n">
        <v>0.493</v>
      </c>
      <c r="M18" s="4" t="n">
        <v>0.221</v>
      </c>
      <c r="N18" s="4" t="n">
        <v>0.348</v>
      </c>
      <c r="O18" s="4" t="n">
        <v>0.437</v>
      </c>
    </row>
    <row r="19">
      <c r="A19" t="inlineStr">
        <is>
          <t>Most or Moderately Effective Contraceptive</t>
        </is>
      </c>
      <c r="B19" t="inlineStr">
        <is>
          <t>60-Days Postpartum</t>
        </is>
      </c>
      <c r="C19" t="n">
        <v>2022</v>
      </c>
      <c r="D19" t="inlineStr">
        <is>
          <t>Medicaid</t>
        </is>
      </c>
      <c r="E19" t="inlineStr">
        <is>
          <t>Administrative</t>
        </is>
      </c>
      <c r="F19" t="inlineStr">
        <is>
          <t>Percentage of Postpartum Women with a Live Birth Provided a Most Effective or Moderately Effective Method of Contraception Within 60 Days of Delivery: Ages 21 to 44</t>
        </is>
      </c>
      <c r="G19" t="inlineStr">
        <is>
          <t>Higher values are better</t>
        </is>
      </c>
      <c r="H19" t="inlineStr">
        <is>
          <t>Mathematica analysis of the Quality Measure Reporting (QMR) system reports for the FFY 2022 reporting cycle as of June 1, 2023.</t>
        </is>
      </c>
      <c r="I19" t="inlineStr">
        <is>
          <t>State-specific comments: Rates include FFS and managed care populations (41 MCOs). Rates were audited or validated.</t>
        </is>
      </c>
      <c r="J19" s="4" t="n">
        <v>0.375</v>
      </c>
      <c r="K19" s="4" t="n">
        <v>0.386</v>
      </c>
      <c r="L19" s="4" t="n">
        <v>0.482</v>
      </c>
      <c r="M19" s="4" t="n">
        <v>0.224</v>
      </c>
      <c r="N19" s="4" t="n">
        <v>0.341</v>
      </c>
      <c r="O19" s="4" t="n">
        <v>0.413</v>
      </c>
    </row>
    <row r="20">
      <c r="A20" t="inlineStr">
        <is>
          <t>Most or Moderately Effective Contraceptive</t>
        </is>
      </c>
      <c r="B20" t="inlineStr">
        <is>
          <t>90-Days Postpartum</t>
        </is>
      </c>
      <c r="C20" t="n">
        <v>2023</v>
      </c>
      <c r="D20" t="inlineStr">
        <is>
          <t>Medicaid</t>
        </is>
      </c>
      <c r="E20" t="inlineStr">
        <is>
          <t>Administrative</t>
        </is>
      </c>
      <c r="F20" t="inlineStr">
        <is>
          <t>Percentage of Postpartum Women with a Live Birth Provided a Most Effective or Moderately Effective Method of Contraception Within 90 Days of Delivery: Ages 21 to 44</t>
        </is>
      </c>
      <c r="G20" t="inlineStr">
        <is>
          <t>Higher values are better</t>
        </is>
      </c>
      <c r="H20" t="inlineStr">
        <is>
          <t>Mathematica analysis of the Quality Measure Reporting (QMR) system reports for the 2023 Core Set as of May 16, 2024.</t>
        </is>
      </c>
      <c r="I20" t="inlineStr">
        <is>
          <t>State-specific comments: Rates include FFS and managed care populations (36 MCOs). Rates were audited or validated.</t>
        </is>
      </c>
      <c r="J20" s="4" t="n">
        <v>0.446</v>
      </c>
      <c r="K20" s="4" t="n">
        <v>0.428</v>
      </c>
      <c r="L20" s="4" t="n">
        <v>0.546</v>
      </c>
      <c r="M20" s="4" t="n">
        <v>0.259</v>
      </c>
      <c r="N20" s="4" t="n">
        <v>0.387</v>
      </c>
      <c r="O20" s="4" t="n">
        <v>0.465</v>
      </c>
    </row>
    <row r="21">
      <c r="A21" t="inlineStr">
        <is>
          <t>Most or Moderately Effective Contraceptive</t>
        </is>
      </c>
      <c r="B21" t="inlineStr">
        <is>
          <t>90-Days Postpartum</t>
        </is>
      </c>
      <c r="C21" t="n">
        <v>2024</v>
      </c>
      <c r="D21" t="inlineStr">
        <is>
          <t>Medicaid (Title XIX)</t>
        </is>
      </c>
      <c r="E21" t="inlineStr">
        <is>
          <t>Administrative</t>
        </is>
      </c>
      <c r="F21" t="inlineStr">
        <is>
          <t>Percentage of Postpartum Women with a Live Birth Provided a Most Effective or Moderately Effective Method of Contraception Within 90 Days of Delivery: Ages 21 to 44</t>
        </is>
      </c>
      <c r="G21" t="inlineStr">
        <is>
          <t>Higher values are better</t>
        </is>
      </c>
      <c r="H21" t="inlineStr">
        <is>
          <t>Mathematica analysis of the Quality Measure Reporting (QMR) system reports for the 2024 Core Set as of April 28, 2025.</t>
        </is>
      </c>
      <c r="I21" t="inlineStr">
        <is>
          <t>State-specific comments: Rates include FFS and managed care populations (36 MCOs). Rates were audited or validated.</t>
        </is>
      </c>
      <c r="J21" s="4" t="n">
        <v>0.428</v>
      </c>
      <c r="K21" s="4" t="n">
        <v>0.428</v>
      </c>
      <c r="L21" s="4" t="n">
        <v>0.54</v>
      </c>
      <c r="M21" s="4" t="n">
        <v>0.291</v>
      </c>
      <c r="N21" s="4" t="n">
        <v>0.391</v>
      </c>
      <c r="O21" s="4" t="n">
        <v>0.456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3"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Controlling High Blood Pressure: Ages 18 to 85 (CBP-AD)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Hybrid</t>
        </is>
      </c>
      <c r="D4" t="inlineStr">
        <is>
          <t>Percentage who had a Diagnosis of Hypertension and Whose Blood Pressure was Adequately Controlled: Ages 18 to 64</t>
        </is>
      </c>
      <c r="E4" t="inlineStr">
        <is>
          <t>Higher values are better</t>
        </is>
      </c>
      <c r="F4" t="inlineStr">
        <is>
          <t>Mathematica analysis of the Quality Measure Reporting (QMR) system reports for the FFY 2021 reporting cycle as of June 1, 2023.</t>
        </is>
      </c>
      <c r="G4" t="inlineStr">
        <is>
          <t>State-specific comments: Rate includes managed care population (28 MCOs). Sample size is 11,508; measure-eligible population is 364,254. Rate was audited or validated. State reported using HEDIS age groups. Numerator and denominator include age 65+ population.</t>
        </is>
      </c>
      <c r="H4" s="4" t="n">
        <v>0.599</v>
      </c>
      <c r="I4" s="4" t="n">
        <v>0.5580000000000001</v>
      </c>
      <c r="J4" s="4" t="n">
        <v>0.705</v>
      </c>
      <c r="K4" s="4" t="n">
        <v>0.127</v>
      </c>
      <c r="L4" s="4" t="n">
        <v>0.483</v>
      </c>
      <c r="M4" s="4" t="n">
        <v>0.599</v>
      </c>
    </row>
    <row r="5">
      <c r="A5" t="n">
        <v>2022</v>
      </c>
      <c r="B5" t="inlineStr">
        <is>
          <t>Medicaid</t>
        </is>
      </c>
      <c r="C5" t="inlineStr">
        <is>
          <t>Hybrid</t>
        </is>
      </c>
      <c r="D5" t="inlineStr">
        <is>
          <t>Percentage who had a Diagnosis of Hypertension and Whose Blood Pressure was Adequately Controlled: Ages 18 to 64</t>
        </is>
      </c>
      <c r="E5" t="inlineStr">
        <is>
          <t>Higher values are better</t>
        </is>
      </c>
      <c r="F5" t="inlineStr">
        <is>
          <t>Mathematica analysis of the Quality Measure Reporting (QMR) system reports for the FFY 2022 reporting cycle as of June 1, 2023.</t>
        </is>
      </c>
      <c r="G5" t="inlineStr">
        <is>
          <t>State-specific comments: Rate includes managed care population (28 MCOs). Sample size is 11,190; measure-eligible population is 433,437. Rate was audited or validated. State reported using HEDIS age groups. Numerator and denominator include age 65+ population.</t>
        </is>
      </c>
      <c r="H5" s="4" t="n">
        <v>0.64</v>
      </c>
      <c r="I5" s="4" t="n">
        <v>0.577</v>
      </c>
      <c r="J5" s="4" t="n">
        <v>0.704</v>
      </c>
      <c r="K5" s="4" t="n">
        <v>0.153</v>
      </c>
      <c r="L5" s="4" t="n">
        <v>0.521</v>
      </c>
      <c r="M5" s="4" t="n">
        <v>0.621</v>
      </c>
    </row>
    <row r="6">
      <c r="A6" t="n">
        <v>2023</v>
      </c>
      <c r="B6" t="inlineStr">
        <is>
          <t>Medicaid</t>
        </is>
      </c>
      <c r="C6" t="inlineStr">
        <is>
          <t>Hybrid</t>
        </is>
      </c>
      <c r="D6" t="inlineStr">
        <is>
          <t>Percentage who had a Diagnosis of Hypertension and Whose Blood Pressure was Adequately Controlled: Ages 18 to 64</t>
        </is>
      </c>
      <c r="E6" t="inlineStr">
        <is>
          <t>Higher values are better</t>
        </is>
      </c>
      <c r="F6" t="inlineStr">
        <is>
          <t>Mathematica analysis of the Quality Measure Reporting (QMR) system reports for the 2023 Core Set as of May 16, 2024.</t>
        </is>
      </c>
      <c r="G6" t="inlineStr">
        <is>
          <t>State-specific comments: Rate includes managed care population (26 MCOs). Sample size is 9,999; measure-eligible population is 466,312. Rate was audited or validated.</t>
        </is>
      </c>
      <c r="H6" s="4" t="n">
        <v>0.664</v>
      </c>
      <c r="I6" s="4" t="n">
        <v>0.612</v>
      </c>
      <c r="J6" s="4" t="n">
        <v>0.738</v>
      </c>
      <c r="K6" s="4" t="n">
        <v>0.032</v>
      </c>
      <c r="L6" s="4" t="n">
        <v>0.547</v>
      </c>
      <c r="M6" s="4" t="n">
        <v>0.652</v>
      </c>
    </row>
    <row r="7">
      <c r="A7" t="n">
        <v>2024</v>
      </c>
      <c r="B7" t="inlineStr">
        <is>
          <t>Medicaid (Title XIX)</t>
        </is>
      </c>
      <c r="C7" t="inlineStr">
        <is>
          <t>Hybrid</t>
        </is>
      </c>
      <c r="D7" t="inlineStr">
        <is>
          <t>Percentage who had a Diagnosis of Hypertension and Whose Blood Pressure was Adequately Controlled: Ages 18 to 64</t>
        </is>
      </c>
      <c r="E7" t="inlineStr">
        <is>
          <t>Higher values are better</t>
        </is>
      </c>
      <c r="F7" t="inlineStr">
        <is>
          <t>Mathematica analysis of the Quality Measure Reporting (QMR) system reports for the 2024 Core Set as of April 28, 2025.</t>
        </is>
      </c>
      <c r="G7" t="inlineStr">
        <is>
          <t>State-specific comments: Rate includes managed care population (26 MCOs). The state described the "other" data sources used to calculate the measure as the following: "Health Plan Billing Data." Rate was audited or validated. State noted: "The rates are weighted based on the size of the measure-eligible population for each reporting unit."</t>
        </is>
      </c>
      <c r="H7" s="4" t="n">
        <v>0.675</v>
      </c>
      <c r="I7" s="4" t="n">
        <v>0.605</v>
      </c>
      <c r="J7" s="4" t="n">
        <v>0.85</v>
      </c>
      <c r="K7" s="4" t="n">
        <v>0.05</v>
      </c>
      <c r="L7" s="4" t="n">
        <v>0.48</v>
      </c>
      <c r="M7" s="4" t="n">
        <v>0.666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26" customWidth="1" min="5" max="5"/>
    <col width="60" customWidth="1" min="6" max="6"/>
    <col width="60" customWidth="1" min="7" max="7"/>
    <col width="23"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Developmental Screening in the First Three Years of Life: Ages 0 to 3 (DEV-CH)</t>
        </is>
      </c>
    </row>
    <row r="2">
      <c r="A2" t="inlineStr">
        <is>
          <t>Due to data source or specification changes, comparisons should only be made within the following Core Set Years: 2021-2023. See measure information tab for more information.</t>
        </is>
      </c>
      <c r="B2" t="inlineStr"/>
    </row>
    <row r="3"/>
    <row r="4">
      <c r="A4" s="1" t="inlineStr">
        <is>
          <t>Data Period</t>
        </is>
      </c>
      <c r="B4" s="1" t="inlineStr">
        <is>
          <t>Population</t>
        </is>
      </c>
      <c r="C4" s="1" t="inlineStr">
        <is>
          <t>Methodology</t>
        </is>
      </c>
      <c r="D4" s="1" t="inlineStr">
        <is>
          <t>Value Type</t>
        </is>
      </c>
      <c r="E4" s="1" t="inlineStr">
        <is>
          <t>Value Directionality</t>
        </is>
      </c>
      <c r="F4" s="1" t="inlineStr">
        <is>
          <t>Analysis Source</t>
        </is>
      </c>
      <c r="G4" s="1" t="inlineStr">
        <is>
          <t>Notes</t>
        </is>
      </c>
      <c r="H4" s="1" t="inlineStr">
        <is>
          <t>Value</t>
        </is>
      </c>
      <c r="I4" s="1" t="inlineStr">
        <is>
          <t>Median</t>
        </is>
      </c>
      <c r="J4" s="1" t="inlineStr">
        <is>
          <t>Maximum</t>
        </is>
      </c>
      <c r="K4" s="1" t="inlineStr">
        <is>
          <t>Minimum</t>
        </is>
      </c>
      <c r="L4" s="1" t="inlineStr">
        <is>
          <t>First quartile</t>
        </is>
      </c>
      <c r="M4" s="1" t="inlineStr">
        <is>
          <t>Third quartile</t>
        </is>
      </c>
    </row>
    <row r="5">
      <c r="A5" t="n">
        <v>2021</v>
      </c>
      <c r="B5" t="inlineStr"/>
      <c r="C5" t="inlineStr"/>
      <c r="D5" t="inlineStr">
        <is>
          <t>Percentage Screened for Risk of Developmental, Behavioral, and Social Delays Using a Standardized Screening Tool: Ages 0 to 3</t>
        </is>
      </c>
      <c r="E5" t="inlineStr">
        <is>
          <t>Higher values are better</t>
        </is>
      </c>
      <c r="F5" t="inlineStr">
        <is>
          <t>Mathematica analysis of the Quality Measure Reporting (QMR) system reports for the FFY 2021 reporting cycle as of June 1, 2023.</t>
        </is>
      </c>
      <c r="G5" t="inlineStr"/>
      <c r="H5" t="inlineStr">
        <is>
          <t>Not reported by state</t>
        </is>
      </c>
      <c r="I5" s="4" t="n">
        <v>0.335</v>
      </c>
      <c r="J5" s="4" t="n">
        <v>0.761</v>
      </c>
      <c r="K5" s="4" t="n">
        <v>0.04</v>
      </c>
      <c r="L5" s="4" t="n">
        <v>0.242</v>
      </c>
      <c r="M5" s="4" t="n">
        <v>0.547</v>
      </c>
    </row>
    <row r="6">
      <c r="A6" t="n">
        <v>2022</v>
      </c>
      <c r="B6" t="inlineStr"/>
      <c r="C6" t="inlineStr"/>
      <c r="D6" t="inlineStr">
        <is>
          <t>Percentage Screened for Risk of Developmental, Behavioral, and Social Delays Using a Standardized Screening Tool: Ages 0 to 3</t>
        </is>
      </c>
      <c r="E6" t="inlineStr">
        <is>
          <t>Higher values are better</t>
        </is>
      </c>
      <c r="F6" t="inlineStr">
        <is>
          <t>Mathematica analysis of the Quality Measure Reporting (QMR) system reports for the FFY 2022 reporting cycle as of June 1, 2023.</t>
        </is>
      </c>
      <c r="G6" t="inlineStr"/>
      <c r="H6" t="inlineStr">
        <is>
          <t>Not reported by state</t>
        </is>
      </c>
      <c r="I6" s="4" t="n">
        <v>0.347</v>
      </c>
      <c r="J6" s="4" t="n">
        <v>0.825</v>
      </c>
      <c r="K6" s="4" t="n">
        <v>0.035</v>
      </c>
      <c r="L6" s="4" t="n">
        <v>0.273</v>
      </c>
      <c r="M6" s="4" t="n">
        <v>0.516</v>
      </c>
    </row>
    <row r="7">
      <c r="A7" t="n">
        <v>2023</v>
      </c>
      <c r="B7" t="inlineStr">
        <is>
          <t>Medicaid only</t>
        </is>
      </c>
      <c r="C7" t="inlineStr">
        <is>
          <t>Administrative</t>
        </is>
      </c>
      <c r="D7" t="inlineStr">
        <is>
          <t>Percentage Screened for Risk of Developmental, Behavioral, and Social Delays Using a Standardized Screening Tool: Ages 0 to 3</t>
        </is>
      </c>
      <c r="E7" t="inlineStr">
        <is>
          <t>Higher values are better</t>
        </is>
      </c>
      <c r="F7" t="inlineStr">
        <is>
          <t>Mathematica analysis of the Quality Measure Reporting (QMR) system reports for the 2023 Core Set as of May 16, 2024.</t>
        </is>
      </c>
      <c r="G7" t="inlineStr">
        <is>
          <t>State-specific comments: Medicaid rate includes FFS and managed care populations (15 MCOs). Rate was audited or validated.</t>
        </is>
      </c>
      <c r="H7" s="4" t="n">
        <v>0.053</v>
      </c>
      <c r="I7" s="4" t="n">
        <v>0.357</v>
      </c>
      <c r="J7" s="4" t="n">
        <v>0.747</v>
      </c>
      <c r="K7" s="4" t="n">
        <v>0.04</v>
      </c>
      <c r="L7" s="4" t="n">
        <v>0.259</v>
      </c>
      <c r="M7" s="4" t="n">
        <v>0.529</v>
      </c>
    </row>
    <row r="8">
      <c r="A8" t="n">
        <v>2024</v>
      </c>
      <c r="B8" t="inlineStr">
        <is>
          <t>Medicaid (Title XIX), Title XXI-funded Medicaid Expansion CHIP, Separate CHIP (Title XXI)</t>
        </is>
      </c>
      <c r="C8" t="inlineStr">
        <is>
          <t>Administrative</t>
        </is>
      </c>
      <c r="D8" t="inlineStr">
        <is>
          <t>Percentage Screened for Risk of Developmental, Behavioral, and Social Delays Using a Standardized Screening Tool: Ages 0 to 3</t>
        </is>
      </c>
      <c r="E8" t="inlineStr">
        <is>
          <t>Higher values are better</t>
        </is>
      </c>
      <c r="F8" t="inlineStr">
        <is>
          <t>Mathematica analysis of the Quality Measure Reporting (QMR) system reports for the 2024 Core Set as of April 28, 2025.</t>
        </is>
      </c>
      <c r="G8" t="inlineStr">
        <is>
          <t>State-specific comments: Rate combines the Medicaid and separate CHIP data reported by the state in the QMR system. See Medicaid and separate CHIP state-specific comments for information about the data reported for each population.</t>
        </is>
      </c>
      <c r="H8" s="4" t="n">
        <v>0.106</v>
      </c>
      <c r="I8" s="4" t="n">
        <v>0.374</v>
      </c>
      <c r="J8" s="4" t="n">
        <v>0.759</v>
      </c>
      <c r="K8" s="4" t="n">
        <v>0.042</v>
      </c>
      <c r="L8" s="4" t="n">
        <v>0.27</v>
      </c>
      <c r="M8" s="4" t="n">
        <v>0.52</v>
      </c>
    </row>
    <row r="9">
      <c r="A9" t="n">
        <v>2024</v>
      </c>
      <c r="B9" t="inlineStr">
        <is>
          <t>Medicaid (Title XIX), Title XXI-funded Medicaid Expansion CHIP</t>
        </is>
      </c>
      <c r="C9" t="inlineStr">
        <is>
          <t>Administrative</t>
        </is>
      </c>
      <c r="D9" t="inlineStr">
        <is>
          <t>Percentage Screened for Risk of Developmental, Behavioral, and Social Delays Using a Standardized Screening Tool: Ages 0 to 3</t>
        </is>
      </c>
      <c r="E9" t="inlineStr">
        <is>
          <t>Higher values are better</t>
        </is>
      </c>
      <c r="F9" t="inlineStr">
        <is>
          <t>Mathematica analysis of the Quality Measure Reporting (QMR) system reports for the 2024 Core Set as of April 28, 2025.</t>
        </is>
      </c>
      <c r="G9" t="inlineStr">
        <is>
          <t>State-specific comments: Medicaid rate includes FFS and managed care populations (15 MCOs). The state described the "other" data sources used to calculate the measure as the following: "Health Plan Billing Data." Rate was audited or validated. State reported the following variation: "In addition to 96110, a modifier - diagnosis code 'Z13.42' - is required to be numerator compliant." State noted: "A modifier code is required for the DEV-CH measure in New York State, which means the rate in New York may not be directly comparable to the rates of this measure in other states."</t>
        </is>
      </c>
      <c r="H9" s="4" t="n">
        <v>0.106</v>
      </c>
      <c r="I9" s="4" t="n">
        <v>0.374</v>
      </c>
      <c r="J9" s="4" t="n">
        <v>0.759</v>
      </c>
      <c r="K9" s="4" t="n">
        <v>0.042</v>
      </c>
      <c r="L9" s="4" t="n">
        <v>0.27</v>
      </c>
      <c r="M9" s="4" t="n">
        <v>0.52</v>
      </c>
    </row>
    <row r="10">
      <c r="A10" t="n">
        <v>2024</v>
      </c>
      <c r="B10" t="inlineStr">
        <is>
          <t>Separate CHIP (Title XXI)</t>
        </is>
      </c>
      <c r="C10" t="inlineStr">
        <is>
          <t>Administrative</t>
        </is>
      </c>
      <c r="D10" t="inlineStr">
        <is>
          <t>Percentage Screened for Risk of Developmental, Behavioral, and Social Delays Using a Standardized Screening Tool: Ages 0 to 3</t>
        </is>
      </c>
      <c r="E10" t="inlineStr">
        <is>
          <t>Higher values are better</t>
        </is>
      </c>
      <c r="F10" t="inlineStr">
        <is>
          <t>Mathematica analysis of the Quality Measure Reporting (QMR) system reports for the 2024 Core Set as of April 28, 2025.</t>
        </is>
      </c>
      <c r="G10" t="inlineStr">
        <is>
          <t>State-specific comments: Separate CHIP rate includes managed care population (12 MCOs). The state described the "other" data sources used to calculate the measure as the following: "Health Plan Billing Data." Rate was audited or validated. State reported the following variation: "A modifier code is required for the DEV-CH measure in New York State, which means the rate in New York may not be directly comparable to the rates of this measure in other states. In addition to 96110, a modifier - diagnosis code 'Z13.42' - is required to be numerator compliant."</t>
        </is>
      </c>
      <c r="H10" s="4" t="n">
        <v>0.101</v>
      </c>
      <c r="I10" s="4" t="n">
        <v>0.374</v>
      </c>
      <c r="J10" s="4" t="n">
        <v>0.759</v>
      </c>
      <c r="K10" s="4" t="n">
        <v>0.042</v>
      </c>
      <c r="L10" s="4" t="n">
        <v>0.27</v>
      </c>
      <c r="M10" s="4" t="n">
        <v>0.52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Diabetes Screening for People with Schizophrenia or Bipolar Disorder Who Are Using Antipsychotic Medications: Ages 18 to 64 (SSD-AD)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Percentage with Schizophrenia, Schizoaffective Disorder, or Bipolar Disorder who were Dispensed an Antipsychotic Medication and had a Diabetes Screening Test: Ages 18 to 64</t>
        </is>
      </c>
      <c r="E4" t="inlineStr">
        <is>
          <t>Higher values are better</t>
        </is>
      </c>
      <c r="F4" t="inlineStr">
        <is>
          <t>Mathematica analysis of the Quality Measure Reporting (QMR) system reports for the FFY 2021 reporting cycle as of June 1, 2023.</t>
        </is>
      </c>
      <c r="G4" t="inlineStr">
        <is>
          <t>State-specific comments: Rate includes FFS and managed care populations (57 MCOs). Rate was audited or validated.</t>
        </is>
      </c>
      <c r="H4" s="4" t="n">
        <v>0.731</v>
      </c>
      <c r="I4" s="4" t="n">
        <v>0.748</v>
      </c>
      <c r="J4" s="4" t="n">
        <v>0.856</v>
      </c>
      <c r="K4" s="4" t="n">
        <v>0.655</v>
      </c>
      <c r="L4" s="4" t="n">
        <v>0.722</v>
      </c>
      <c r="M4" s="4" t="n">
        <v>0.765</v>
      </c>
    </row>
    <row r="5">
      <c r="A5" t="n">
        <v>2022</v>
      </c>
      <c r="B5" t="inlineStr">
        <is>
          <t>Medicaid</t>
        </is>
      </c>
      <c r="C5" t="inlineStr">
        <is>
          <t>Administrative</t>
        </is>
      </c>
      <c r="D5" t="inlineStr">
        <is>
          <t>Percentage with Schizophrenia, Schizoaffective Disorder, or Bipolar Disorder who were Dispensed an Antipsychotic Medication and had a Diabetes Screening Test: Ages 18 to 64</t>
        </is>
      </c>
      <c r="E5" t="inlineStr">
        <is>
          <t>Higher values are better</t>
        </is>
      </c>
      <c r="F5" t="inlineStr">
        <is>
          <t>Mathematica analysis of the Quality Measure Reporting (QMR) system reports for the FFY 2022 reporting cycle as of June 1, 2023.</t>
        </is>
      </c>
      <c r="G5" t="inlineStr">
        <is>
          <t>State-specific comments: Rate includes FFS and managed care populations (53 MCOs). Rate was audited or validated.</t>
        </is>
      </c>
      <c r="H5" s="4" t="n">
        <v>0.757</v>
      </c>
      <c r="I5" s="4" t="n">
        <v>0.771</v>
      </c>
      <c r="J5" s="4" t="n">
        <v>0.869</v>
      </c>
      <c r="K5" s="4" t="n">
        <v>0.614</v>
      </c>
      <c r="L5" s="4" t="n">
        <v>0.742</v>
      </c>
      <c r="M5" s="4" t="n">
        <v>0.785</v>
      </c>
    </row>
    <row r="6">
      <c r="A6" t="n">
        <v>2023</v>
      </c>
      <c r="B6" t="inlineStr">
        <is>
          <t>Medicaid</t>
        </is>
      </c>
      <c r="C6" t="inlineStr">
        <is>
          <t>Administrative</t>
        </is>
      </c>
      <c r="D6" t="inlineStr">
        <is>
          <t>Percentage with Schizophrenia, Schizoaffective Disorder, or Bipolar Disorder who were Dispensed an Antipsychotic Medication and had a Diabetes Screening Test: Ages 18 to 64</t>
        </is>
      </c>
      <c r="E6" t="inlineStr">
        <is>
          <t>Higher values are better</t>
        </is>
      </c>
      <c r="F6" t="inlineStr">
        <is>
          <t>Mathematica analysis of the Quality Measure Reporting (QMR) system reports for the 2023 Core Set as of May 16, 2024.</t>
        </is>
      </c>
      <c r="G6" t="inlineStr">
        <is>
          <t>State-specific comments: Rate includes FFS and managed care populations (53 MCOs). Rate was audited or validated.</t>
        </is>
      </c>
      <c r="H6" s="4" t="n">
        <v>0.756</v>
      </c>
      <c r="I6" s="4" t="n">
        <v>0.771</v>
      </c>
      <c r="J6" s="4" t="n">
        <v>0.86</v>
      </c>
      <c r="K6" s="4" t="n">
        <v>0.636</v>
      </c>
      <c r="L6" s="4" t="n">
        <v>0.748</v>
      </c>
      <c r="M6" s="4" t="n">
        <v>0.797</v>
      </c>
    </row>
    <row r="7">
      <c r="A7" t="n">
        <v>2024</v>
      </c>
      <c r="B7" t="inlineStr">
        <is>
          <t>Medicaid (Title XIX)</t>
        </is>
      </c>
      <c r="C7" t="inlineStr">
        <is>
          <t>Administrative</t>
        </is>
      </c>
      <c r="D7" t="inlineStr">
        <is>
          <t>Percentage with Schizophrenia, Schizoaffective Disorder, or Bipolar Disorder who were Dispensed an Antipsychotic Medication and had a Diabetes Screening Test: Ages 18 to 64</t>
        </is>
      </c>
      <c r="E7" t="inlineStr">
        <is>
          <t>Higher values are better</t>
        </is>
      </c>
      <c r="F7" t="inlineStr">
        <is>
          <t>Mathematica analysis of the Quality Measure Reporting (QMR) system reports for the 2024 Core Set as of April 28, 2025.</t>
        </is>
      </c>
      <c r="G7" t="inlineStr">
        <is>
          <t>State-specific comments: Rate includes FFS and managed care populations (51 MCOs). Rate was audited or validated.</t>
        </is>
      </c>
      <c r="H7" s="4" t="n">
        <v>0.768</v>
      </c>
      <c r="I7" s="4" t="n">
        <v>0.778</v>
      </c>
      <c r="J7" s="4" t="n">
        <v>0.871</v>
      </c>
      <c r="K7" s="4" t="n">
        <v>0.624</v>
      </c>
      <c r="L7" s="4" t="n">
        <v>0.747</v>
      </c>
      <c r="M7" s="4" t="n">
        <v>0.8139999999999999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2" customWidth="1" min="2" max="2"/>
    <col width="13" customWidth="1" min="3" max="3"/>
    <col width="58" customWidth="1" min="4" max="4"/>
    <col width="26" customWidth="1" min="5" max="5"/>
    <col width="60" customWidth="1" min="6" max="6"/>
    <col width="60" customWidth="1" min="7" max="7"/>
    <col width="23"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Flu Vaccinations for Adults Ages 18 to 64 (FVA-AD)</t>
        </is>
      </c>
    </row>
    <row r="2">
      <c r="A2" t="inlineStr">
        <is>
          <t>Due to data source or specification changes, comparisons should only be made within the following Core Set Years: 2021-2022. See measure information tab for more information.</t>
        </is>
      </c>
      <c r="B2" t="inlineStr"/>
    </row>
    <row r="3"/>
    <row r="4">
      <c r="A4" s="1" t="inlineStr">
        <is>
          <t>Data Period</t>
        </is>
      </c>
      <c r="B4" s="1" t="inlineStr">
        <is>
          <t>Population</t>
        </is>
      </c>
      <c r="C4" s="1" t="inlineStr">
        <is>
          <t>Methodology</t>
        </is>
      </c>
      <c r="D4" s="1" t="inlineStr">
        <is>
          <t>Value Type</t>
        </is>
      </c>
      <c r="E4" s="1" t="inlineStr">
        <is>
          <t>Value Directionality</t>
        </is>
      </c>
      <c r="F4" s="1" t="inlineStr">
        <is>
          <t>Analysis Source</t>
        </is>
      </c>
      <c r="G4" s="1" t="inlineStr">
        <is>
          <t>Notes</t>
        </is>
      </c>
      <c r="H4" s="1" t="inlineStr">
        <is>
          <t>Value</t>
        </is>
      </c>
      <c r="I4" s="1" t="inlineStr">
        <is>
          <t>Median</t>
        </is>
      </c>
      <c r="J4" s="1" t="inlineStr">
        <is>
          <t>Maximum</t>
        </is>
      </c>
      <c r="K4" s="1" t="inlineStr">
        <is>
          <t>Minimum</t>
        </is>
      </c>
      <c r="L4" s="1" t="inlineStr">
        <is>
          <t>First quartile</t>
        </is>
      </c>
      <c r="M4" s="1" t="inlineStr">
        <is>
          <t>Third quartile</t>
        </is>
      </c>
    </row>
    <row r="5">
      <c r="A5" t="n">
        <v>2021</v>
      </c>
      <c r="B5" t="inlineStr"/>
      <c r="C5" t="inlineStr"/>
      <c r="D5" t="inlineStr">
        <is>
          <t>Percentage who Received a Flu Vaccination: Ages 18 to 64</t>
        </is>
      </c>
      <c r="E5" t="inlineStr">
        <is>
          <t>Higher values are better</t>
        </is>
      </c>
      <c r="F5" t="inlineStr">
        <is>
          <t>Mathematica analysis of the Quality Measure Reporting (QMR) system reports for the FFY 2021 reporting cycle as of June 1, 2023.</t>
        </is>
      </c>
      <c r="G5" t="inlineStr"/>
      <c r="H5" t="inlineStr">
        <is>
          <t>Not reported by state</t>
        </is>
      </c>
      <c r="I5" s="4" t="n">
        <v>0.403</v>
      </c>
      <c r="J5" s="4" t="n">
        <v>0.548</v>
      </c>
      <c r="K5" s="4" t="n">
        <v>0.298</v>
      </c>
      <c r="L5" s="4" t="n">
        <v>0.373</v>
      </c>
      <c r="M5" s="4" t="n">
        <v>0.466</v>
      </c>
    </row>
    <row r="6">
      <c r="A6" t="n">
        <v>2022</v>
      </c>
      <c r="B6" t="inlineStr">
        <is>
          <t>Medicaid</t>
        </is>
      </c>
      <c r="C6" t="inlineStr">
        <is>
          <t>CAHPS 5.1H</t>
        </is>
      </c>
      <c r="D6" t="inlineStr">
        <is>
          <t>Percentage who Received a Flu Vaccination: Ages 18 to 64</t>
        </is>
      </c>
      <c r="E6" t="inlineStr">
        <is>
          <t>Higher values are better</t>
        </is>
      </c>
      <c r="F6" t="inlineStr">
        <is>
          <t>Mathematica analysis of the Quality Measure Reporting (QMR) system reports for the FFY 2022 reporting cycle as of June 1, 2023.</t>
        </is>
      </c>
      <c r="G6" t="inlineStr">
        <is>
          <t>State-specific comments: Rate includes managed care population (28 MCOs). Rate was audited or validated.</t>
        </is>
      </c>
      <c r="H6" s="4" t="n">
        <v>0.494</v>
      </c>
      <c r="I6" s="4" t="n">
        <v>0.405</v>
      </c>
      <c r="J6" s="4" t="n">
        <v>0.533</v>
      </c>
      <c r="K6" s="4" t="n">
        <v>0.222</v>
      </c>
      <c r="L6" s="4" t="n">
        <v>0.354</v>
      </c>
      <c r="M6" s="4" t="n">
        <v>0.464</v>
      </c>
    </row>
    <row r="7">
      <c r="A7" t="n">
        <v>2023</v>
      </c>
      <c r="B7" t="inlineStr"/>
      <c r="C7" t="inlineStr"/>
      <c r="D7" t="inlineStr">
        <is>
          <t>Percentage who Received a Flu Vaccination: Ages 18 to 64</t>
        </is>
      </c>
      <c r="E7" t="inlineStr">
        <is>
          <t>Higher values are better</t>
        </is>
      </c>
      <c r="F7"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G7" t="inlineStr"/>
      <c r="H7" t="inlineStr">
        <is>
          <t>Not reported by state</t>
        </is>
      </c>
      <c r="I7" s="4" t="n">
        <v>0.393</v>
      </c>
      <c r="J7" s="4" t="n">
        <v>0.527</v>
      </c>
      <c r="K7" s="4" t="n">
        <v>0.251</v>
      </c>
      <c r="L7" s="4" t="n">
        <v>0.354</v>
      </c>
      <c r="M7" s="4" t="n">
        <v>0.435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Mental Illness: Ages 6 to 17 (FUM-CH)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2022</v>
      </c>
      <c r="C4" t="inlineStr">
        <is>
          <t>Medicaid &amp; CHIP</t>
        </is>
      </c>
      <c r="D4" t="inlineStr">
        <is>
          <t>Administrative</t>
        </is>
      </c>
      <c r="E4" t="inlineStr">
        <is>
          <t>Percentage of Emergency Department (ED) Visits for Mental Illness or Intentional Self-Harm with a Follow-Up Visit Within 30 Days of the ED Visit: Ages 6 to 17</t>
        </is>
      </c>
      <c r="F4" t="inlineStr">
        <is>
          <t>Higher values are better</t>
        </is>
      </c>
      <c r="G4" t="inlineStr">
        <is>
          <t>Mathematica analysis of the Quality Measure Reporting (QMR) system reports for the FFY 2022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0.761</v>
      </c>
      <c r="J4" s="4" t="n">
        <v>0.727</v>
      </c>
      <c r="K4" s="4" t="n">
        <v>0.919</v>
      </c>
      <c r="L4" s="4" t="n">
        <v>0.115</v>
      </c>
      <c r="M4" s="4" t="n">
        <v>0.636</v>
      </c>
      <c r="N4" s="4" t="n">
        <v>0.769</v>
      </c>
    </row>
    <row r="5">
      <c r="A5" t="inlineStr">
        <is>
          <t>30-Day Follow-Up</t>
        </is>
      </c>
      <c r="B5" t="n">
        <v>2023</v>
      </c>
      <c r="C5" t="inlineStr">
        <is>
          <t>Medicaid &amp; CHIP</t>
        </is>
      </c>
      <c r="D5" t="inlineStr">
        <is>
          <t>Administrative</t>
        </is>
      </c>
      <c r="E5" t="inlineStr">
        <is>
          <t>Percentage of Emergency Department (ED) Visits for Mental Illness or Intentional Self-Harm with a Follow-Up Visit Within 30 Days of the ED Visit: Ages 6 to 17</t>
        </is>
      </c>
      <c r="F5" t="inlineStr">
        <is>
          <t>Higher values are better</t>
        </is>
      </c>
      <c r="G5" t="inlineStr">
        <is>
          <t>Mathematica analysis of the Quality Measure Reporting (QMR) system reports for the 2023 Core Set as of May 16, 2024.</t>
        </is>
      </c>
      <c r="H5" t="inlineStr">
        <is>
          <t>State-specific comments: Rates include managed care population (15 MCOs). The state described the "other" data sources used to calculate the measure as the following: "Health Plan Billing Data." Rates were audited or validated.</t>
        </is>
      </c>
      <c r="I5" s="4" t="n">
        <v>0.74</v>
      </c>
      <c r="J5" s="4" t="n">
        <v>0.696</v>
      </c>
      <c r="K5" s="4" t="n">
        <v>0.911</v>
      </c>
      <c r="L5" s="4" t="n">
        <v>0.244</v>
      </c>
      <c r="M5" s="4" t="n">
        <v>0.618</v>
      </c>
      <c r="N5" s="4" t="n">
        <v>0.76</v>
      </c>
    </row>
    <row r="6">
      <c r="A6" t="inlineStr">
        <is>
          <t>30-Day Follow-Up</t>
        </is>
      </c>
      <c r="B6" t="n">
        <v>2024</v>
      </c>
      <c r="C6" t="inlineStr">
        <is>
          <t>Medicaid (Title XIX), Title XXI-funded Medicaid Expansion CHIP, Separate CHIP (Title XXI)</t>
        </is>
      </c>
      <c r="D6" t="inlineStr">
        <is>
          <t>Administrative</t>
        </is>
      </c>
      <c r="E6" t="inlineStr">
        <is>
          <t>Percentage of Emergency Department (ED) Visits for Mental Illness or Intentional Self-Harm with a Follow-Up Visit Within 30 Days of the ED Visit: Ages 6 to 17</t>
        </is>
      </c>
      <c r="F6" t="inlineStr">
        <is>
          <t>Higher values are better</t>
        </is>
      </c>
      <c r="G6" t="inlineStr">
        <is>
          <t>Mathematica analysis of the Quality Measure Reporting (QMR) system reports for the 2024 Core Set as of April 28, 2025.</t>
        </is>
      </c>
      <c r="H6" t="inlineStr">
        <is>
          <t>State-specific comments: Rate combines the Medicaid and separate CHIP data reported by the state in the QMR system. See Medicaid and separate CHIP state-specific comments for information about the data reported for each population.</t>
        </is>
      </c>
      <c r="I6" s="4" t="n">
        <v>0.755</v>
      </c>
      <c r="J6" s="4" t="n">
        <v>0.6929999999999999</v>
      </c>
      <c r="K6" s="4" t="n">
        <v>0.9379999999999999</v>
      </c>
      <c r="L6" s="4" t="n">
        <v>0.475</v>
      </c>
      <c r="M6" s="4" t="n">
        <v>0.639</v>
      </c>
      <c r="N6" s="4" t="n">
        <v>0.754</v>
      </c>
    </row>
    <row r="7">
      <c r="A7" t="inlineStr">
        <is>
          <t>30-Day Follow-Up</t>
        </is>
      </c>
      <c r="B7" t="n">
        <v>2024</v>
      </c>
      <c r="C7" t="inlineStr">
        <is>
          <t>Medicaid (Title XIX), Title XXI-funded Medicaid Expansion CHIP</t>
        </is>
      </c>
      <c r="D7" t="inlineStr">
        <is>
          <t>Administrative</t>
        </is>
      </c>
      <c r="E7" t="inlineStr">
        <is>
          <t>Percentage of Emergency Department (ED) Visits for Mental Illness or Intentional Self-Harm with a Follow-Up Visit Within 30 Days of the ED Visit: Ages 6 to 17</t>
        </is>
      </c>
      <c r="F7" t="inlineStr">
        <is>
          <t>Higher values are better</t>
        </is>
      </c>
      <c r="G7" t="inlineStr">
        <is>
          <t>Mathematica analysis of the Quality Measure Reporting (QMR) system reports for the 2024 Core Set as of April 28, 2025.</t>
        </is>
      </c>
      <c r="H7" t="inlineStr">
        <is>
          <t>State-specific comments: Medicaid rates include FFS and managed care populations (15 MCOs). The state described the "other" data sources used to calculate the measure as the following: "Health Plan Billing Data." Rates were audited or validated.</t>
        </is>
      </c>
      <c r="I7" s="4" t="n">
        <v>0.755</v>
      </c>
      <c r="J7" s="4" t="n">
        <v>0.6929999999999999</v>
      </c>
      <c r="K7" s="4" t="n">
        <v>0.9379999999999999</v>
      </c>
      <c r="L7" s="4" t="n">
        <v>0.475</v>
      </c>
      <c r="M7" s="4" t="n">
        <v>0.639</v>
      </c>
      <c r="N7" s="4" t="n">
        <v>0.754</v>
      </c>
    </row>
    <row r="8">
      <c r="A8" t="inlineStr">
        <is>
          <t>30-Day Follow-Up</t>
        </is>
      </c>
      <c r="B8" t="n">
        <v>2024</v>
      </c>
      <c r="C8" t="inlineStr">
        <is>
          <t>Separate CHIP (Title XXI)</t>
        </is>
      </c>
      <c r="D8" t="inlineStr">
        <is>
          <t>Administrative</t>
        </is>
      </c>
      <c r="E8" t="inlineStr">
        <is>
          <t>Percentage of Emergency Department (ED) Visits for Mental Illness or Intentional Self-Harm with a Follow-Up Visit Within 30 Days of the ED Visit: Ages 6 to 17</t>
        </is>
      </c>
      <c r="F8" t="inlineStr">
        <is>
          <t>Higher values are better</t>
        </is>
      </c>
      <c r="G8" t="inlineStr">
        <is>
          <t>Mathematica analysis of the Quality Measure Reporting (QMR) system reports for the 2024 Core Set as of April 28, 2025.</t>
        </is>
      </c>
      <c r="H8" t="inlineStr">
        <is>
          <t>State-specific comments: Separate CHIP rates include managed care population (12 MCOs). The state described the "other" data sources used to calculate the measure as the following: "Health Plan Billing Data." Rates were audited or validated.</t>
        </is>
      </c>
      <c r="I8" s="4" t="n">
        <v>0.753</v>
      </c>
      <c r="J8" s="4" t="n">
        <v>0.6929999999999999</v>
      </c>
      <c r="K8" s="4" t="n">
        <v>0.9379999999999999</v>
      </c>
      <c r="L8" s="4" t="n">
        <v>0.475</v>
      </c>
      <c r="M8" s="4" t="n">
        <v>0.639</v>
      </c>
      <c r="N8" s="4" t="n">
        <v>0.754</v>
      </c>
    </row>
    <row r="9">
      <c r="A9" t="inlineStr">
        <is>
          <t>7-Day Follow-Up</t>
        </is>
      </c>
      <c r="B9" t="n">
        <v>2022</v>
      </c>
      <c r="C9" t="inlineStr">
        <is>
          <t>Medicaid &amp; CHIP</t>
        </is>
      </c>
      <c r="D9" t="inlineStr">
        <is>
          <t>Administrative</t>
        </is>
      </c>
      <c r="E9" t="inlineStr">
        <is>
          <t>Percentage of Emergency Department (ED) Visits for Mental Illness or Intentional Self-Harm with a Follow-Up Visit Within 7 Days of the ED Visit: Ages 6 to 17</t>
        </is>
      </c>
      <c r="F9" t="inlineStr">
        <is>
          <t>Higher values are better</t>
        </is>
      </c>
      <c r="G9" t="inlineStr">
        <is>
          <t>Mathematica analysis of the Quality Measure Reporting (QMR) system reports for the FFY 2022 reporting cycle as of June 1, 2023.</t>
        </is>
      </c>
      <c r="H9" t="inlineStr">
        <is>
          <t>State-specific comments: Rates include managed care population (16 MCOs). The state described the "other" data sources used to calculate the measure as the following: "Health Plan Billing Data." Rates were audited or validated.</t>
        </is>
      </c>
      <c r="I9" s="4" t="n">
        <v>0.603</v>
      </c>
      <c r="J9" s="4" t="n">
        <v>0.546</v>
      </c>
      <c r="K9" s="4" t="n">
        <v>0.888</v>
      </c>
      <c r="L9" s="4" t="n">
        <v>0.054</v>
      </c>
      <c r="M9" s="4" t="n">
        <v>0.462</v>
      </c>
      <c r="N9" s="4" t="n">
        <v>0.654</v>
      </c>
    </row>
    <row r="10">
      <c r="A10" t="inlineStr">
        <is>
          <t>7-Day Follow-Up</t>
        </is>
      </c>
      <c r="B10" t="n">
        <v>2023</v>
      </c>
      <c r="C10" t="inlineStr">
        <is>
          <t>Medicaid &amp; CHIP</t>
        </is>
      </c>
      <c r="D10" t="inlineStr">
        <is>
          <t>Administrative</t>
        </is>
      </c>
      <c r="E10" t="inlineStr">
        <is>
          <t>Percentage of Emergency Department (ED) Visits for Mental Illness or Intentional Self-Harm with a Follow-Up Visit Within 7 Days of the ED Visit: Ages 6 to 17</t>
        </is>
      </c>
      <c r="F10" t="inlineStr">
        <is>
          <t>Higher values are better</t>
        </is>
      </c>
      <c r="G10" t="inlineStr">
        <is>
          <t>Mathematica analysis of the Quality Measure Reporting (QMR) system reports for the 2023 Core Set as of May 16, 2024.</t>
        </is>
      </c>
      <c r="H10" t="inlineStr">
        <is>
          <t>State-specific comments: Rates include managed care population (15 MCOs). The state described the "other" data sources used to calculate the measure as the following: "Health Plan Billing Data." Rates were audited or validated.</t>
        </is>
      </c>
      <c r="I10" s="4" t="n">
        <v>0.593</v>
      </c>
      <c r="J10" s="4" t="n">
        <v>0.515</v>
      </c>
      <c r="K10" s="4" t="n">
        <v>0.871</v>
      </c>
      <c r="L10" s="4" t="n">
        <v>0.166</v>
      </c>
      <c r="M10" s="4" t="n">
        <v>0.425</v>
      </c>
      <c r="N10" s="4" t="n">
        <v>0.609</v>
      </c>
    </row>
    <row r="11">
      <c r="A11" t="inlineStr">
        <is>
          <t>7-Day Follow-Up</t>
        </is>
      </c>
      <c r="B11" t="n">
        <v>2024</v>
      </c>
      <c r="C11" t="inlineStr">
        <is>
          <t>Medicaid (Title XIX), Title XXI-funded Medicaid Expansion CHIP, Separate CHIP (Title XXI)</t>
        </is>
      </c>
      <c r="D11" t="inlineStr">
        <is>
          <t>Administrative</t>
        </is>
      </c>
      <c r="E11" t="inlineStr">
        <is>
          <t>Percentage of Emergency Department (ED) Visits for Mental Illness or Intentional Self-Harm with a Follow-Up Visit Within 7 Days of the ED Visit: Ages 6 to 17</t>
        </is>
      </c>
      <c r="F11" t="inlineStr">
        <is>
          <t>Higher values are better</t>
        </is>
      </c>
      <c r="G11" t="inlineStr">
        <is>
          <t>Mathematica analysis of the Quality Measure Reporting (QMR) system reports for the 2024 Core Set as of April 28, 2025.</t>
        </is>
      </c>
      <c r="H11" t="inlineStr">
        <is>
          <t>State-specific comments: Rate combines the Medicaid and separate CHIP data reported by the state in the QMR system. See Medicaid and separate CHIP state-specific comments for information about the data reported for each population.</t>
        </is>
      </c>
      <c r="I11" s="4" t="n">
        <v>0.605</v>
      </c>
      <c r="J11" s="4" t="n">
        <v>0.508</v>
      </c>
      <c r="K11" s="4" t="n">
        <v>0.87</v>
      </c>
      <c r="L11" s="4" t="n">
        <v>0.334</v>
      </c>
      <c r="M11" s="4" t="n">
        <v>0.434</v>
      </c>
      <c r="N11" s="4" t="n">
        <v>0.618</v>
      </c>
    </row>
    <row r="12">
      <c r="A12" t="inlineStr">
        <is>
          <t>7-Day Follow-Up</t>
        </is>
      </c>
      <c r="B12" t="n">
        <v>2024</v>
      </c>
      <c r="C12" t="inlineStr">
        <is>
          <t>Medicaid (Title XIX), Title XXI-funded Medicaid Expansion CHIP</t>
        </is>
      </c>
      <c r="D12" t="inlineStr">
        <is>
          <t>Administrative</t>
        </is>
      </c>
      <c r="E12" t="inlineStr">
        <is>
          <t>Percentage of Emergency Department (ED) Visits for Mental Illness or Intentional Self-Harm with a Follow-Up Visit Within 7 Days of the ED Visit: Ages 6 to 17</t>
        </is>
      </c>
      <c r="F12" t="inlineStr">
        <is>
          <t>Higher values are better</t>
        </is>
      </c>
      <c r="G12" t="inlineStr">
        <is>
          <t>Mathematica analysis of the Quality Measure Reporting (QMR) system reports for the 2024 Core Set as of April 28, 2025.</t>
        </is>
      </c>
      <c r="H12" t="inlineStr">
        <is>
          <t>State-specific comments: Medicaid rates include FFS and managed care populations (15 MCOs). The state described the "other" data sources used to calculate the measure as the following: "Health Plan Billing Data." Rates were audited or validated.</t>
        </is>
      </c>
      <c r="I12" s="4" t="n">
        <v>0.605</v>
      </c>
      <c r="J12" s="4" t="n">
        <v>0.508</v>
      </c>
      <c r="K12" s="4" t="n">
        <v>0.87</v>
      </c>
      <c r="L12" s="4" t="n">
        <v>0.334</v>
      </c>
      <c r="M12" s="4" t="n">
        <v>0.434</v>
      </c>
      <c r="N12" s="4" t="n">
        <v>0.618</v>
      </c>
    </row>
    <row r="13">
      <c r="A13" t="inlineStr">
        <is>
          <t>7-Day Follow-Up</t>
        </is>
      </c>
      <c r="B13" t="n">
        <v>2024</v>
      </c>
      <c r="C13" t="inlineStr">
        <is>
          <t>Separate CHIP (Title XXI)</t>
        </is>
      </c>
      <c r="D13" t="inlineStr">
        <is>
          <t>Administrative</t>
        </is>
      </c>
      <c r="E13" t="inlineStr">
        <is>
          <t>Percentage of Emergency Department (ED) Visits for Mental Illness or Intentional Self-Harm with a Follow-Up Visit Within 7 Days of the ED Visit: Ages 6 to 17</t>
        </is>
      </c>
      <c r="F13" t="inlineStr">
        <is>
          <t>Higher values are better</t>
        </is>
      </c>
      <c r="G13" t="inlineStr">
        <is>
          <t>Mathematica analysis of the Quality Measure Reporting (QMR) system reports for the 2024 Core Set as of April 28, 2025.</t>
        </is>
      </c>
      <c r="H13" t="inlineStr">
        <is>
          <t>State-specific comments: Separate CHIP rates include managed care population (12 MCOs). The state described the "other" data sources used to calculate the measure as the following: "Health Plan Billing Data." Rates were audited or validated.</t>
        </is>
      </c>
      <c r="I13" s="4" t="n">
        <v>0.602</v>
      </c>
      <c r="J13" s="4" t="n">
        <v>0.508</v>
      </c>
      <c r="K13" s="4" t="n">
        <v>0.87</v>
      </c>
      <c r="L13" s="4" t="n">
        <v>0.334</v>
      </c>
      <c r="M13" s="4" t="n">
        <v>0.434</v>
      </c>
      <c r="N13" s="4" t="n">
        <v>0.618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8"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Mental Illness: Age 18 and Older (FUM-AD)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t>
        </is>
      </c>
      <c r="D4" t="inlineStr">
        <is>
          <t>Administrative</t>
        </is>
      </c>
      <c r="E4" t="inlineStr">
        <is>
          <t>Percentage of Emergency Department (ED) Visits for Mental Illness or Intentional Self-Harm with a Follow-Up Visit Within 30 Days of the ED Visit: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(49 MCOs). Rates were audited or validated. Numerator and denominator include age 65+ population.</t>
        </is>
      </c>
      <c r="I4" s="4" t="n">
        <v>0.72</v>
      </c>
      <c r="J4" s="4" t="n">
        <v>0.548</v>
      </c>
      <c r="K4" s="4" t="n">
        <v>0.882</v>
      </c>
      <c r="L4" s="4" t="n">
        <v>0.118</v>
      </c>
      <c r="M4" s="4" t="n">
        <v>0.426</v>
      </c>
      <c r="N4" s="4" t="n">
        <v>0.636</v>
      </c>
    </row>
    <row r="5">
      <c r="A5" t="inlineStr">
        <is>
          <t>30-Day Follow-Up</t>
        </is>
      </c>
      <c r="B5" t="n">
        <v>2022</v>
      </c>
      <c r="C5" t="inlineStr">
        <is>
          <t>Medicaid</t>
        </is>
      </c>
      <c r="D5" t="inlineStr">
        <is>
          <t>Administrative</t>
        </is>
      </c>
      <c r="E5" t="inlineStr">
        <is>
          <t>Percentage of Emergency Department (ED) Visits for Mental Illness or Intentional Self-Harm with a Follow-Up Visit Within 30 Days of the ED Visit: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(44 MCOs). Rates were audited or validated. State reported using HEDIS age groups. Numerator and denominator include age 65+ population.</t>
        </is>
      </c>
      <c r="I5" s="4" t="n">
        <v>0.707</v>
      </c>
      <c r="J5" s="4" t="n">
        <v>0.525</v>
      </c>
      <c r="K5" s="4" t="n">
        <v>0.844</v>
      </c>
      <c r="L5" s="4" t="n">
        <v>0.124</v>
      </c>
      <c r="M5" s="4" t="n">
        <v>0.429</v>
      </c>
      <c r="N5" s="4" t="n">
        <v>0.635</v>
      </c>
    </row>
    <row r="6">
      <c r="A6" t="inlineStr">
        <is>
          <t>30-Day Follow-Up</t>
        </is>
      </c>
      <c r="B6" t="n">
        <v>2023</v>
      </c>
      <c r="C6" t="inlineStr">
        <is>
          <t>Medicaid</t>
        </is>
      </c>
      <c r="D6" t="inlineStr">
        <is>
          <t>Administrative</t>
        </is>
      </c>
      <c r="E6" t="inlineStr">
        <is>
          <t>Percentage of Emergency Department (ED) Visits for Mental Illness or Intentional Self-Harm with a Follow-Up Visit Within 30 Days of the ED Visit: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(47 MCOs). Rates were audited or validated.</t>
        </is>
      </c>
      <c r="I6" s="4" t="n">
        <v>0.702</v>
      </c>
      <c r="J6" s="4" t="n">
        <v>0.513</v>
      </c>
      <c r="K6" s="4" t="n">
        <v>0.805</v>
      </c>
      <c r="L6" s="4" t="n">
        <v>0.138</v>
      </c>
      <c r="M6" s="4" t="n">
        <v>0.454</v>
      </c>
      <c r="N6" s="4" t="n">
        <v>0.615</v>
      </c>
    </row>
    <row r="7">
      <c r="A7" t="inlineStr">
        <is>
          <t>30-Day Follow-Up</t>
        </is>
      </c>
      <c r="B7" t="n">
        <v>2024</v>
      </c>
      <c r="C7" t="inlineStr">
        <is>
          <t>Medicaid (Title XIX)</t>
        </is>
      </c>
      <c r="D7" t="inlineStr">
        <is>
          <t>Administrative</t>
        </is>
      </c>
      <c r="E7" t="inlineStr">
        <is>
          <t>Percentage of Emergency Department (ED) Visits for Mental Illness or Intentional Self-Harm with a Follow-Up Visit Within 30 Days of the ED Visit: Ages 18 to 64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(46 MCOs). Rates were audited or validated.</t>
        </is>
      </c>
      <c r="I7" s="4" t="n">
        <v>0.573</v>
      </c>
      <c r="J7" s="4" t="n">
        <v>0.507</v>
      </c>
      <c r="K7" s="4" t="n">
        <v>0.8120000000000001</v>
      </c>
      <c r="L7" s="4" t="n">
        <v>0.285</v>
      </c>
      <c r="M7" s="4" t="n">
        <v>0.462</v>
      </c>
      <c r="N7" s="4" t="n">
        <v>0.592</v>
      </c>
    </row>
    <row r="8">
      <c r="A8" t="inlineStr">
        <is>
          <t>7-Day Follow-Up</t>
        </is>
      </c>
      <c r="B8" t="n">
        <v>2021</v>
      </c>
      <c r="C8" t="inlineStr">
        <is>
          <t>Medicaid</t>
        </is>
      </c>
      <c r="D8" t="inlineStr">
        <is>
          <t>Administrative</t>
        </is>
      </c>
      <c r="E8" t="inlineStr">
        <is>
          <t>Percentage of Emergency Department (ED) Visits for Mental Illness or Intentional Self-Harm with a Follow-Up Visit Within 7 Days of the ED Visit: Ages 18 to 64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(49 MCOs). Rates were audited or validated. Numerator and denominator include age 65+ population.</t>
        </is>
      </c>
      <c r="I8" s="4" t="n">
        <v>0.617</v>
      </c>
      <c r="J8" s="4" t="n">
        <v>0.389</v>
      </c>
      <c r="K8" s="4" t="n">
        <v>0.791</v>
      </c>
      <c r="L8" s="4" t="n">
        <v>0.036</v>
      </c>
      <c r="M8" s="4" t="n">
        <v>0.277</v>
      </c>
      <c r="N8" s="4" t="n">
        <v>0.525</v>
      </c>
    </row>
    <row r="9">
      <c r="A9" t="inlineStr">
        <is>
          <t>7-Day Follow-Up</t>
        </is>
      </c>
      <c r="B9" t="n">
        <v>2022</v>
      </c>
      <c r="C9" t="inlineStr">
        <is>
          <t>Medicaid</t>
        </is>
      </c>
      <c r="D9" t="inlineStr">
        <is>
          <t>Administrative</t>
        </is>
      </c>
      <c r="E9" t="inlineStr">
        <is>
          <t>Percentage of Emergency Department (ED) Visits for Mental Illness or Intentional Self-Harm with a Follow-Up Visit Within 7 Days of the ED Visit: Ages 18 to 64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(44 MCOs). Rates were audited or validated. State reported using HEDIS age groups. Numerator and denominator include age 65+ population.</t>
        </is>
      </c>
      <c r="I9" s="4" t="n">
        <v>0.61</v>
      </c>
      <c r="J9" s="4" t="n">
        <v>0.389</v>
      </c>
      <c r="K9" s="4" t="n">
        <v>0.774</v>
      </c>
      <c r="L9" s="4" t="n">
        <v>0.035</v>
      </c>
      <c r="M9" s="4" t="n">
        <v>0.292</v>
      </c>
      <c r="N9" s="4" t="n">
        <v>0.526</v>
      </c>
    </row>
    <row r="10">
      <c r="A10" t="inlineStr">
        <is>
          <t>7-Day Follow-Up</t>
        </is>
      </c>
      <c r="B10" t="n">
        <v>2023</v>
      </c>
      <c r="C10" t="inlineStr">
        <is>
          <t>Medicaid</t>
        </is>
      </c>
      <c r="D10" t="inlineStr">
        <is>
          <t>Administrative</t>
        </is>
      </c>
      <c r="E10" t="inlineStr">
        <is>
          <t>Percentage of Emergency Department (ED) Visits for Mental Illness or Intentional Self-Harm with a Follow-Up Visit Within 7 Days of the ED Visit: Ages 18 to 64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(47 MCOs). Rates were audited or validated.</t>
        </is>
      </c>
      <c r="I10" s="4" t="n">
        <v>0.606</v>
      </c>
      <c r="J10" s="4" t="n">
        <v>0.354</v>
      </c>
      <c r="K10" s="4" t="n">
        <v>0.729</v>
      </c>
      <c r="L10" s="4" t="n">
        <v>0.079</v>
      </c>
      <c r="M10" s="4" t="n">
        <v>0.303</v>
      </c>
      <c r="N10" s="4" t="n">
        <v>0.502</v>
      </c>
    </row>
    <row r="11">
      <c r="A11" t="inlineStr">
        <is>
          <t>7-Day Follow-Up</t>
        </is>
      </c>
      <c r="B11" t="n">
        <v>2024</v>
      </c>
      <c r="C11" t="inlineStr">
        <is>
          <t>Medicaid (Title XIX)</t>
        </is>
      </c>
      <c r="D11" t="inlineStr">
        <is>
          <t>Administrative</t>
        </is>
      </c>
      <c r="E11" t="inlineStr">
        <is>
          <t>Percentage of Emergency Department (ED) Visits for Mental Illness or Intentional Self-Harm with a Follow-Up Visit Within 7 Days of the ED Visit: Ages 18 to 64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(46 MCOs). Rates were audited or validated.</t>
        </is>
      </c>
      <c r="I11" s="4" t="n">
        <v>0.416</v>
      </c>
      <c r="J11" s="4" t="n">
        <v>0.353</v>
      </c>
      <c r="K11" s="4" t="n">
        <v>0.723</v>
      </c>
      <c r="L11" s="4" t="n">
        <v>0.162</v>
      </c>
      <c r="M11" s="4" t="n">
        <v>0.289</v>
      </c>
      <c r="N11" s="4" t="n">
        <v>0.45</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Substance Use: Ages 13 to 17 (FUA-CH)</t>
        </is>
      </c>
    </row>
    <row r="2">
      <c r="A2" t="inlineStr">
        <is>
          <t>30-Day Follow-Up: Due to data source or specification changes, comparisons should only be made within the following Core Set Years: 2023-2024. See measure information tab for more information.</t>
        </is>
      </c>
      <c r="B2" t="inlineStr"/>
    </row>
    <row r="3"/>
    <row r="4">
      <c r="A4" s="1" t="inlineStr">
        <is>
          <t>Rate</t>
        </is>
      </c>
      <c r="B4" s="1" t="inlineStr">
        <is>
          <t>Data Period</t>
        </is>
      </c>
      <c r="C4" s="1" t="inlineStr">
        <is>
          <t>Population</t>
        </is>
      </c>
      <c r="D4" s="1" t="inlineStr">
        <is>
          <t>Methodology</t>
        </is>
      </c>
      <c r="E4" s="1" t="inlineStr">
        <is>
          <t>Value Type</t>
        </is>
      </c>
      <c r="F4" s="1" t="inlineStr">
        <is>
          <t>Value Directionality</t>
        </is>
      </c>
      <c r="G4" s="1" t="inlineStr">
        <is>
          <t>Analysis Source</t>
        </is>
      </c>
      <c r="H4" s="1" t="inlineStr">
        <is>
          <t>Notes</t>
        </is>
      </c>
      <c r="I4" s="1" t="inlineStr">
        <is>
          <t>Value</t>
        </is>
      </c>
      <c r="J4" s="1" t="inlineStr">
        <is>
          <t>Median</t>
        </is>
      </c>
      <c r="K4" s="1" t="inlineStr">
        <is>
          <t>Maximum</t>
        </is>
      </c>
      <c r="L4" s="1" t="inlineStr">
        <is>
          <t>Minimum</t>
        </is>
      </c>
      <c r="M4" s="1" t="inlineStr">
        <is>
          <t>First quartile</t>
        </is>
      </c>
      <c r="N4" s="1" t="inlineStr">
        <is>
          <t>Third quartile</t>
        </is>
      </c>
    </row>
    <row r="5">
      <c r="A5" t="inlineStr">
        <is>
          <t>30-Day Follow-Up</t>
        </is>
      </c>
      <c r="B5" t="n">
        <v>2022</v>
      </c>
      <c r="C5" t="inlineStr">
        <is>
          <t>Medicaid &amp; CHIP</t>
        </is>
      </c>
      <c r="D5" t="inlineStr">
        <is>
          <t>Administrative</t>
        </is>
      </c>
      <c r="E5" t="inlineStr">
        <is>
          <t>Percentage of Emergency Department (ED) Visits for Alcohol and Other Drug Abuse or Dependence with a Follow-Up Visit Within 30 Days of the ED Visit: Ages 13 to 17</t>
        </is>
      </c>
      <c r="F5" t="inlineStr">
        <is>
          <t>Higher values are better</t>
        </is>
      </c>
      <c r="G5" t="inlineStr">
        <is>
          <t>Mathematica analysis of the Quality Measure Reporting (QMR) system reports for the FFY 2022 reporting cycle as of June 1, 2023.</t>
        </is>
      </c>
      <c r="H5" t="inlineStr">
        <is>
          <t>State-specific comments: Rate includes managed care population (16 MCOs). The state described the "other" data sources used to calculate the measure as the following: "Health Plan Billing Data." Rate was audited or validated.</t>
        </is>
      </c>
      <c r="I5" s="4" t="n">
        <v>0.128</v>
      </c>
      <c r="J5" s="4" t="n">
        <v>0.106</v>
      </c>
      <c r="K5" s="4" t="n">
        <v>0.5</v>
      </c>
      <c r="L5" s="4" t="n">
        <v>0.029</v>
      </c>
      <c r="M5" s="4" t="n">
        <v>0.06</v>
      </c>
      <c r="N5" s="4" t="n">
        <v>0.163</v>
      </c>
    </row>
    <row r="6">
      <c r="A6" t="inlineStr">
        <is>
          <t>30-Day Follow-Up</t>
        </is>
      </c>
      <c r="B6" t="n">
        <v>2023</v>
      </c>
      <c r="C6" t="inlineStr">
        <is>
          <t>Medicaid &amp; CHIP</t>
        </is>
      </c>
      <c r="D6" t="inlineStr">
        <is>
          <t>Administrative</t>
        </is>
      </c>
      <c r="E6" t="inlineStr">
        <is>
          <t>Percentage of Emergency Department (ED) Visits for Substance Use Disorder (SUD) or Drug Overdose with a Follow-Up Visit Within 30 Days of the ED Visit: Ages 13 to 17</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0.369</v>
      </c>
      <c r="J6" s="4" t="n">
        <v>0.337</v>
      </c>
      <c r="K6" s="4" t="n">
        <v>0.621</v>
      </c>
      <c r="L6" s="4" t="n">
        <v>0.126</v>
      </c>
      <c r="M6" s="4" t="n">
        <v>0.281</v>
      </c>
      <c r="N6" s="4" t="n">
        <v>0.422</v>
      </c>
    </row>
    <row r="7">
      <c r="A7" t="inlineStr">
        <is>
          <t>30-Day Follow-Up</t>
        </is>
      </c>
      <c r="B7" t="n">
        <v>2024</v>
      </c>
      <c r="C7" t="inlineStr">
        <is>
          <t>Medicaid (Title XIX), Title XXI-funded Medicaid Expansion CHIP, Separate CHIP (Title XXI)</t>
        </is>
      </c>
      <c r="D7" t="inlineStr">
        <is>
          <t>Administrative</t>
        </is>
      </c>
      <c r="E7" t="inlineStr">
        <is>
          <t>Percentage of Emergency Department (ED) Visits for Substance Use Disorder (SUD) or Drug Overdose with a Follow-Up Visit Within 30 Days of the ED Visit: Ages 13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0.416</v>
      </c>
      <c r="J7" s="4" t="n">
        <v>0.33</v>
      </c>
      <c r="K7" s="4" t="n">
        <v>0.603</v>
      </c>
      <c r="L7" s="4" t="n">
        <v>0.029</v>
      </c>
      <c r="M7" s="4" t="n">
        <v>0.275</v>
      </c>
      <c r="N7" s="4" t="n">
        <v>0.421</v>
      </c>
    </row>
    <row r="8">
      <c r="A8" t="inlineStr">
        <is>
          <t>30-Day Follow-Up</t>
        </is>
      </c>
      <c r="B8" t="n">
        <v>2024</v>
      </c>
      <c r="C8" t="inlineStr">
        <is>
          <t>Medicaid (Title XIX), Title XXI-funded Medicaid Expansion CHIP</t>
        </is>
      </c>
      <c r="D8" t="inlineStr">
        <is>
          <t>Administrative</t>
        </is>
      </c>
      <c r="E8" t="inlineStr">
        <is>
          <t>Percentage of Emergency Department (ED) Visits for Substance Use Disorder (SUD) or Drug Overdose with a Follow-Up Visit Within 30 Days of the ED Visit: Ages 13 to 17</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0.429</v>
      </c>
      <c r="J8" s="4" t="n">
        <v>0.33</v>
      </c>
      <c r="K8" s="4" t="n">
        <v>0.603</v>
      </c>
      <c r="L8" s="4" t="n">
        <v>0.029</v>
      </c>
      <c r="M8" s="4" t="n">
        <v>0.275</v>
      </c>
      <c r="N8" s="4" t="n">
        <v>0.421</v>
      </c>
    </row>
    <row r="9">
      <c r="A9" t="inlineStr">
        <is>
          <t>30-Day Follow-Up</t>
        </is>
      </c>
      <c r="B9" t="n">
        <v>2024</v>
      </c>
      <c r="C9" t="inlineStr">
        <is>
          <t>Separate CHIP (Title XXI)</t>
        </is>
      </c>
      <c r="D9" t="inlineStr">
        <is>
          <t>Administrative</t>
        </is>
      </c>
      <c r="E9" t="inlineStr">
        <is>
          <t>Percentage of Emergency Department (ED) Visits for Substance Use Disorder (SUD) or Drug Overdose with a Follow-Up Visit Within 30 Days of the ED Visit: Ages 13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0.341</v>
      </c>
      <c r="J9" s="4" t="n">
        <v>0.33</v>
      </c>
      <c r="K9" s="4" t="n">
        <v>0.603</v>
      </c>
      <c r="L9" s="4" t="n">
        <v>0.029</v>
      </c>
      <c r="M9" s="4" t="n">
        <v>0.275</v>
      </c>
      <c r="N9" s="4" t="n">
        <v>0.421</v>
      </c>
    </row>
    <row r="10">
      <c r="A10" t="inlineStr">
        <is>
          <t>7-Day Follow-Up</t>
        </is>
      </c>
      <c r="B10" t="n">
        <v>2023</v>
      </c>
      <c r="C10" t="inlineStr">
        <is>
          <t>Medicaid &amp; CHIP</t>
        </is>
      </c>
      <c r="D10" t="inlineStr">
        <is>
          <t>Administrative</t>
        </is>
      </c>
      <c r="E10" t="inlineStr">
        <is>
          <t>Percentage of Emergency Department (ED) Visits for Substance Use Disorder (SUD) or Drug Overdose with a Follow-Up Visit Within 7 Days of the ED Visit: Ages 13 to 17</t>
        </is>
      </c>
      <c r="F10" t="inlineStr">
        <is>
          <t>Higher values are better</t>
        </is>
      </c>
      <c r="G10" t="inlineStr">
        <is>
          <t>Mathematica analysis of the Quality Measure Reporting (QMR) system reports for the 2023 Core Set as of May 16, 2024.</t>
        </is>
      </c>
      <c r="H10" t="inlineStr">
        <is>
          <t>State-specific comments: Rates include managed care population (15 MCOs). The state described the "other" data sources used to calculate the measure as the following: "Health Plan Billing Data." Rates were audited or validated.</t>
        </is>
      </c>
      <c r="I10" s="4" t="n">
        <v>0.26</v>
      </c>
      <c r="J10" s="4" t="n">
        <v>0.228</v>
      </c>
      <c r="K10" s="4" t="n">
        <v>0.54</v>
      </c>
      <c r="L10" s="4" t="n">
        <v>0.11</v>
      </c>
      <c r="M10" s="4" t="n">
        <v>0.195</v>
      </c>
      <c r="N10" s="4" t="n">
        <v>0.283</v>
      </c>
    </row>
    <row r="11">
      <c r="A11" t="inlineStr">
        <is>
          <t>7-Day Follow-Up</t>
        </is>
      </c>
      <c r="B11" t="n">
        <v>2024</v>
      </c>
      <c r="C11" t="inlineStr">
        <is>
          <t>Medicaid (Title XIX), Title XXI-funded Medicaid Expansion CHIP, Separate CHIP (Title XXI)</t>
        </is>
      </c>
      <c r="D11" t="inlineStr">
        <is>
          <t>Administrative</t>
        </is>
      </c>
      <c r="E11" t="inlineStr">
        <is>
          <t>Percentage of Emergency Department (ED) Visits for Substance Use Disorder (SUD) or Drug Overdose with a Follow-Up Visit Within 7 Days of the ED Visit: Ages 13 to 17</t>
        </is>
      </c>
      <c r="F11" t="inlineStr">
        <is>
          <t>Higher values are better</t>
        </is>
      </c>
      <c r="G11" t="inlineStr">
        <is>
          <t>Mathematica analysis of the Quality Measure Reporting (QMR) system reports for the 2024 Core Set as of April 28, 2025.</t>
        </is>
      </c>
      <c r="H11" t="inlineStr">
        <is>
          <t>State-specific comments: Rate combines the Medicaid and separate CHIP data reported by the state in the QMR system. See Medicaid and separate CHIP state-specific comments for information about the data reported for each population.</t>
        </is>
      </c>
      <c r="I11" s="4" t="n">
        <v>0.303</v>
      </c>
      <c r="J11" s="4" t="n">
        <v>0.215</v>
      </c>
      <c r="K11" s="4" t="n">
        <v>0.521</v>
      </c>
      <c r="L11" s="4" t="n">
        <v>0.099</v>
      </c>
      <c r="M11" s="4" t="n">
        <v>0.181</v>
      </c>
      <c r="N11" s="4" t="n">
        <v>0.292</v>
      </c>
    </row>
    <row r="12">
      <c r="A12" t="inlineStr">
        <is>
          <t>7-Day Follow-Up</t>
        </is>
      </c>
      <c r="B12" t="n">
        <v>2024</v>
      </c>
      <c r="C12" t="inlineStr">
        <is>
          <t>Medicaid (Title XIX), Title XXI-funded Medicaid Expansion CHIP</t>
        </is>
      </c>
      <c r="D12" t="inlineStr">
        <is>
          <t>Administrative</t>
        </is>
      </c>
      <c r="E12" t="inlineStr">
        <is>
          <t>Percentage of Emergency Department (ED) Visits for Substance Use Disorder (SUD) or Drug Overdose with a Follow-Up Visit Within 7 Days of the ED Visit: Ages 13 to 17</t>
        </is>
      </c>
      <c r="F12" t="inlineStr">
        <is>
          <t>Higher values are better</t>
        </is>
      </c>
      <c r="G12" t="inlineStr">
        <is>
          <t>Mathematica analysis of the Quality Measure Reporting (QMR) system reports for the 2024 Core Set as of April 28, 2025.</t>
        </is>
      </c>
      <c r="H12" t="inlineStr">
        <is>
          <t>State-specific comments: Medicaid rates include FFS and managed care populations (15 MCOs). The state described the "other" data sources used to calculate the measure as the following: "Health Plan Billing Data." Rates were audited or validated.</t>
        </is>
      </c>
      <c r="I12" s="4" t="n">
        <v>0.312</v>
      </c>
      <c r="J12" s="4" t="n">
        <v>0.215</v>
      </c>
      <c r="K12" s="4" t="n">
        <v>0.521</v>
      </c>
      <c r="L12" s="4" t="n">
        <v>0.099</v>
      </c>
      <c r="M12" s="4" t="n">
        <v>0.181</v>
      </c>
      <c r="N12" s="4" t="n">
        <v>0.292</v>
      </c>
    </row>
    <row r="13">
      <c r="A13" t="inlineStr">
        <is>
          <t>7-Day Follow-Up</t>
        </is>
      </c>
      <c r="B13" t="n">
        <v>2024</v>
      </c>
      <c r="C13" t="inlineStr">
        <is>
          <t>Separate CHIP (Title XXI)</t>
        </is>
      </c>
      <c r="D13" t="inlineStr">
        <is>
          <t>Administrative</t>
        </is>
      </c>
      <c r="E13" t="inlineStr">
        <is>
          <t>Percentage of Emergency Department (ED) Visits for Substance Use Disorder (SUD) or Drug Overdose with a Follow-Up Visit Within 7 Days of the ED Visit: Ages 13 to 17</t>
        </is>
      </c>
      <c r="F13" t="inlineStr">
        <is>
          <t>Higher values are better</t>
        </is>
      </c>
      <c r="G13" t="inlineStr">
        <is>
          <t>Mathematica analysis of the Quality Measure Reporting (QMR) system reports for the 2024 Core Set as of April 28, 2025.</t>
        </is>
      </c>
      <c r="H13" t="inlineStr">
        <is>
          <t>State-specific comments: Separate CHIP rates include managed care population (12 MCOs). The state described the "other" data sources used to calculate the measure as the following: "Health Plan Billing Data." Rates were audited or validated.</t>
        </is>
      </c>
      <c r="I13" s="4" t="n">
        <v>0.25</v>
      </c>
      <c r="J13" s="4" t="n">
        <v>0.215</v>
      </c>
      <c r="K13" s="4" t="n">
        <v>0.521</v>
      </c>
      <c r="L13" s="4" t="n">
        <v>0.099</v>
      </c>
      <c r="M13" s="4" t="n">
        <v>0.181</v>
      </c>
      <c r="N13" s="4" t="n">
        <v>0.292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Emergency Department Visit for Substance Use: Age 18 and Older (FUA-AD)</t>
        </is>
      </c>
    </row>
    <row r="2">
      <c r="A2" t="inlineStr">
        <is>
          <t>30-Day Follow-Up: Due to data source or specification changes, comparisons should only be made within the following Core Set Years: 2021-2022, 2023-2024. See measure information tab for more information.</t>
        </is>
      </c>
      <c r="B2" t="inlineStr"/>
    </row>
    <row r="3">
      <c r="A3" t="inlineStr">
        <is>
          <t>7-Day Follow-Up: Due to data source or specification changes, comparisons should only be made within the following Core Set Years: 2021-2022, 2023-2024. See measure information tab for more information.</t>
        </is>
      </c>
      <c r="B3" t="inlineStr"/>
    </row>
    <row r="4"/>
    <row r="5">
      <c r="A5" s="1" t="inlineStr">
        <is>
          <t>Rate</t>
        </is>
      </c>
      <c r="B5" s="1" t="inlineStr">
        <is>
          <t>Data Period</t>
        </is>
      </c>
      <c r="C5" s="1" t="inlineStr">
        <is>
          <t>Population</t>
        </is>
      </c>
      <c r="D5" s="1" t="inlineStr">
        <is>
          <t>Methodology</t>
        </is>
      </c>
      <c r="E5" s="1" t="inlineStr">
        <is>
          <t>Value Type</t>
        </is>
      </c>
      <c r="F5" s="1" t="inlineStr">
        <is>
          <t>Value Directionality</t>
        </is>
      </c>
      <c r="G5" s="1" t="inlineStr">
        <is>
          <t>Analysis Source</t>
        </is>
      </c>
      <c r="H5" s="1" t="inlineStr">
        <is>
          <t>Notes</t>
        </is>
      </c>
      <c r="I5" s="1" t="inlineStr">
        <is>
          <t>Value</t>
        </is>
      </c>
      <c r="J5" s="1" t="inlineStr">
        <is>
          <t>Median</t>
        </is>
      </c>
      <c r="K5" s="1" t="inlineStr">
        <is>
          <t>Maximum</t>
        </is>
      </c>
      <c r="L5" s="1" t="inlineStr">
        <is>
          <t>Minimum</t>
        </is>
      </c>
      <c r="M5" s="1" t="inlineStr">
        <is>
          <t>First quartile</t>
        </is>
      </c>
      <c r="N5" s="1" t="inlineStr">
        <is>
          <t>Third quartile</t>
        </is>
      </c>
    </row>
    <row r="6">
      <c r="A6" t="inlineStr">
        <is>
          <t>30-Day Follow-Up</t>
        </is>
      </c>
      <c r="B6" t="n">
        <v>2021</v>
      </c>
      <c r="C6" t="inlineStr">
        <is>
          <t>Medicaid</t>
        </is>
      </c>
      <c r="D6" t="inlineStr">
        <is>
          <t>Administrative</t>
        </is>
      </c>
      <c r="E6" t="inlineStr">
        <is>
          <t>Percentage of Emergency Department (ED) Visits for Alcohol and Other Drug (AOD) Abuse or Dependence with a Follow-Up Visit for AOD Abuse or Dependence Within 30 Days of the ED Visit: Ages 18 to 64</t>
        </is>
      </c>
      <c r="F6" t="inlineStr">
        <is>
          <t>Higher values are better</t>
        </is>
      </c>
      <c r="G6" t="inlineStr">
        <is>
          <t>Mathematica analysis of the Quality Measure Reporting (QMR) system reports for the FFY 2021 reporting cycle as of June 1, 2023.</t>
        </is>
      </c>
      <c r="H6" t="inlineStr">
        <is>
          <t>State-specific comments: Rates include FFS and managed care populations (49 MCOs). Rates were audited or validated. Numerator and denominator include age 65+ population.</t>
        </is>
      </c>
      <c r="I6" s="4" t="n">
        <v>0.287</v>
      </c>
      <c r="J6" s="4" t="n">
        <v>0.223</v>
      </c>
      <c r="K6" s="4" t="n">
        <v>0.571</v>
      </c>
      <c r="L6" s="4" t="n">
        <v>0.05</v>
      </c>
      <c r="M6" s="4" t="n">
        <v>0.141</v>
      </c>
      <c r="N6" s="4" t="n">
        <v>0.303</v>
      </c>
    </row>
    <row r="7">
      <c r="A7" t="inlineStr">
        <is>
          <t>30-Day Follow-Up</t>
        </is>
      </c>
      <c r="B7" t="n">
        <v>2022</v>
      </c>
      <c r="C7" t="inlineStr">
        <is>
          <t>Medicaid</t>
        </is>
      </c>
      <c r="D7" t="inlineStr">
        <is>
          <t>Administrative</t>
        </is>
      </c>
      <c r="E7" t="inlineStr">
        <is>
          <t>Percentage of Emergency Department (ED) Visits for Alcohol and Other Drug (AOD) Abuse or Dependence with a Follow-Up Visit for AOD Abuse or Dependence Within 30 Days of the ED Visit: Ages 18 to 64</t>
        </is>
      </c>
      <c r="F7" t="inlineStr">
        <is>
          <t>Higher values are better</t>
        </is>
      </c>
      <c r="G7" t="inlineStr">
        <is>
          <t>Mathematica analysis of the Quality Measure Reporting (QMR) system reports for the FFY 2022 reporting cycle as of June 1, 2023.</t>
        </is>
      </c>
      <c r="H7" t="inlineStr">
        <is>
          <t>State-specific comments: Rates include FFS and managed care populations (46 MCOs). Rates were audited or validated. State reported using HEDIS age groups. Numerator and denominator include age 65+ population.</t>
        </is>
      </c>
      <c r="I7" s="4" t="n">
        <v>0.274</v>
      </c>
      <c r="J7" s="4" t="n">
        <v>0.238</v>
      </c>
      <c r="K7" s="4" t="n">
        <v>0.598</v>
      </c>
      <c r="L7" s="4" t="n">
        <v>0.058</v>
      </c>
      <c r="M7" s="4" t="n">
        <v>0.155</v>
      </c>
      <c r="N7" s="4" t="n">
        <v>0.29</v>
      </c>
    </row>
    <row r="8">
      <c r="A8" t="inlineStr">
        <is>
          <t>30-Day Follow-Up</t>
        </is>
      </c>
      <c r="B8" t="n">
        <v>2023</v>
      </c>
      <c r="C8" t="inlineStr">
        <is>
          <t>Medicaid</t>
        </is>
      </c>
      <c r="D8" t="inlineStr">
        <is>
          <t>Administrative</t>
        </is>
      </c>
      <c r="E8" t="inlineStr">
        <is>
          <t>Percentage of Emergency Department (ED) Visits for Substance Use Disorder (SUD) or Drug Overdose with a Follow-Up Visit Within 30 Days of the ED Visit: Ages 18 to 64</t>
        </is>
      </c>
      <c r="F8" t="inlineStr">
        <is>
          <t>Higher values are better</t>
        </is>
      </c>
      <c r="G8" t="inlineStr">
        <is>
          <t>Mathematica analysis of the Quality Measure Reporting (QMR) system reports for the 2023 Core Set as of May 16, 2024.</t>
        </is>
      </c>
      <c r="H8" t="inlineStr">
        <is>
          <t>State-specific comments: Rates include FFS and managed care populations (46 MCOs). Rates were audited or validated.</t>
        </is>
      </c>
      <c r="I8" s="4" t="n">
        <v>0.388</v>
      </c>
      <c r="J8" s="4" t="n">
        <v>0.398</v>
      </c>
      <c r="K8" s="4" t="n">
        <v>0.663</v>
      </c>
      <c r="L8" s="4" t="n">
        <v>0.039</v>
      </c>
      <c r="M8" s="4" t="n">
        <v>0.291</v>
      </c>
      <c r="N8" s="4" t="n">
        <v>0.492</v>
      </c>
    </row>
    <row r="9">
      <c r="A9" t="inlineStr">
        <is>
          <t>30-Day Follow-Up</t>
        </is>
      </c>
      <c r="B9" t="n">
        <v>2024</v>
      </c>
      <c r="C9" t="inlineStr">
        <is>
          <t>Medicaid (Title XIX)</t>
        </is>
      </c>
      <c r="D9" t="inlineStr">
        <is>
          <t>Administrative</t>
        </is>
      </c>
      <c r="E9" t="inlineStr">
        <is>
          <t>Percentage of Emergency Department (ED) Visits for Substance Use Disorder (SUD) or Drug Overdose with a Follow-Up Visit Within 30 Days of the ED Visit: Ages 18 to 64</t>
        </is>
      </c>
      <c r="F9" t="inlineStr">
        <is>
          <t>Higher values are better</t>
        </is>
      </c>
      <c r="G9" t="inlineStr">
        <is>
          <t>Mathematica analysis of the Quality Measure Reporting (QMR) system reports for the 2024 Core Set as of April 28, 2025.</t>
        </is>
      </c>
      <c r="H9" t="inlineStr">
        <is>
          <t>State-specific comments: Rates include FFS and managed care populations (44 MCOs). Rates were audited or validated.</t>
        </is>
      </c>
      <c r="I9" s="4" t="n">
        <v>0.389</v>
      </c>
      <c r="J9" s="4" t="n">
        <v>0.376</v>
      </c>
      <c r="K9" s="4" t="n">
        <v>0.677</v>
      </c>
      <c r="L9" s="4" t="n">
        <v>0.01</v>
      </c>
      <c r="M9" s="4" t="n">
        <v>0.293</v>
      </c>
      <c r="N9" s="4" t="n">
        <v>0.445</v>
      </c>
    </row>
    <row r="10">
      <c r="A10" t="inlineStr">
        <is>
          <t>7-Day Follow-Up</t>
        </is>
      </c>
      <c r="B10" t="n">
        <v>2021</v>
      </c>
      <c r="C10" t="inlineStr">
        <is>
          <t>Medicaid</t>
        </is>
      </c>
      <c r="D10" t="inlineStr">
        <is>
          <t>Administrative</t>
        </is>
      </c>
      <c r="E10" t="inlineStr">
        <is>
          <t>Percentage of Emergency Department (ED) Visits for Alcohol and Other Drug (AOD) Abuse or Dependence with a Follow-Up Visit for AOD Abuse or Dependence Within 7 Days of the ED Visit: Ages 18 to 64</t>
        </is>
      </c>
      <c r="F10" t="inlineStr">
        <is>
          <t>Higher values are better</t>
        </is>
      </c>
      <c r="G10" t="inlineStr">
        <is>
          <t>Mathematica analysis of the Quality Measure Reporting (QMR) system reports for the FFY 2021 reporting cycle as of June 1, 2023.</t>
        </is>
      </c>
      <c r="H10" t="inlineStr">
        <is>
          <t>State-specific comments: Rates include FFS and managed care populations (49 MCOs). Rates were audited or validated. Numerator and denominator include age 65+ population.</t>
        </is>
      </c>
      <c r="I10" s="4" t="n">
        <v>0.224</v>
      </c>
      <c r="J10" s="4" t="n">
        <v>0.153</v>
      </c>
      <c r="K10" s="4" t="n">
        <v>0.495</v>
      </c>
      <c r="L10" s="4" t="n">
        <v>0.027</v>
      </c>
      <c r="M10" s="4" t="n">
        <v>0.079</v>
      </c>
      <c r="N10" s="4" t="n">
        <v>0.219</v>
      </c>
    </row>
    <row r="11">
      <c r="A11" t="inlineStr">
        <is>
          <t>7-Day Follow-Up</t>
        </is>
      </c>
      <c r="B11" t="n">
        <v>2022</v>
      </c>
      <c r="C11" t="inlineStr">
        <is>
          <t>Medicaid</t>
        </is>
      </c>
      <c r="D11" t="inlineStr">
        <is>
          <t>Administrative</t>
        </is>
      </c>
      <c r="E11" t="inlineStr">
        <is>
          <t>Percentage of Emergency Department (ED) Visits for Alcohol and Other Drug (AOD) Abuse or Dependence with a Follow-Up Visit for AOD Abuse or Dependence Within 7 Days of the ED Visit: Ages 18 to 64</t>
        </is>
      </c>
      <c r="F11" t="inlineStr">
        <is>
          <t>Higher values are better</t>
        </is>
      </c>
      <c r="G11" t="inlineStr">
        <is>
          <t>Mathematica analysis of the Quality Measure Reporting (QMR) system reports for the FFY 2022 reporting cycle as of June 1, 2023.</t>
        </is>
      </c>
      <c r="H11" t="inlineStr">
        <is>
          <t>State-specific comments: Rates include FFS and managed care populations (46 MCOs). Rates were audited or validated. State reported using HEDIS age groups. Numerator and denominator include age 65+ population.</t>
        </is>
      </c>
      <c r="I11" s="4" t="n">
        <v>0.213</v>
      </c>
      <c r="J11" s="4" t="n">
        <v>0.155</v>
      </c>
      <c r="K11" s="4" t="n">
        <v>0.543</v>
      </c>
      <c r="L11" s="4" t="n">
        <v>0.033</v>
      </c>
      <c r="M11" s="4" t="n">
        <v>0.109</v>
      </c>
      <c r="N11" s="4" t="n">
        <v>0.191</v>
      </c>
    </row>
    <row r="12">
      <c r="A12" t="inlineStr">
        <is>
          <t>7-Day Follow-Up</t>
        </is>
      </c>
      <c r="B12" t="n">
        <v>2023</v>
      </c>
      <c r="C12" t="inlineStr">
        <is>
          <t>Medicaid</t>
        </is>
      </c>
      <c r="D12" t="inlineStr">
        <is>
          <t>Administrative</t>
        </is>
      </c>
      <c r="E12" t="inlineStr">
        <is>
          <t>Percentage of Emergency Department (ED) Visits for Substance Use Disorder (SUD) or Drug Overdose with a Follow-Up Visit Within 7 Days of the ED Visit: Ages 18 to 64</t>
        </is>
      </c>
      <c r="F12" t="inlineStr">
        <is>
          <t>Higher values are better</t>
        </is>
      </c>
      <c r="G12" t="inlineStr">
        <is>
          <t>Mathematica analysis of the Quality Measure Reporting (QMR) system reports for the 2023 Core Set as of May 16, 2024.</t>
        </is>
      </c>
      <c r="H12" t="inlineStr">
        <is>
          <t>State-specific comments: Rates include FFS and managed care populations (46 MCOs). Rates were audited or validated.</t>
        </is>
      </c>
      <c r="I12" s="4" t="n">
        <v>0.284</v>
      </c>
      <c r="J12" s="4" t="n">
        <v>0.282</v>
      </c>
      <c r="K12" s="4" t="n">
        <v>0.572</v>
      </c>
      <c r="L12" s="4" t="n">
        <v>0.03</v>
      </c>
      <c r="M12" s="4" t="n">
        <v>0.173</v>
      </c>
      <c r="N12" s="4" t="n">
        <v>0.344</v>
      </c>
    </row>
    <row r="13">
      <c r="A13" t="inlineStr">
        <is>
          <t>7-Day Follow-Up</t>
        </is>
      </c>
      <c r="B13" t="n">
        <v>2024</v>
      </c>
      <c r="C13" t="inlineStr">
        <is>
          <t>Medicaid (Title XIX)</t>
        </is>
      </c>
      <c r="D13" t="inlineStr">
        <is>
          <t>Administrative</t>
        </is>
      </c>
      <c r="E13" t="inlineStr">
        <is>
          <t>Percentage of Emergency Department (ED) Visits for Substance Use Disorder (SUD) or Drug Overdose with a Follow-Up Visit Within 7 Days of the ED Visit: Ages 18 to 64</t>
        </is>
      </c>
      <c r="F13" t="inlineStr">
        <is>
          <t>Higher values are better</t>
        </is>
      </c>
      <c r="G13" t="inlineStr">
        <is>
          <t>Mathematica analysis of the Quality Measure Reporting (QMR) system reports for the 2024 Core Set as of April 28, 2025.</t>
        </is>
      </c>
      <c r="H13" t="inlineStr">
        <is>
          <t>State-specific comments: Rates include FFS and managed care populations (44 MCOs). Rates were audited or validated.</t>
        </is>
      </c>
      <c r="I13" s="4" t="n">
        <v>0.277</v>
      </c>
      <c r="J13" s="4" t="n">
        <v>0.258</v>
      </c>
      <c r="K13" s="4" t="n">
        <v>0.581</v>
      </c>
      <c r="L13" s="4" t="n">
        <v>0.004</v>
      </c>
      <c r="M13" s="4" t="n">
        <v>0.184</v>
      </c>
      <c r="N13" s="4" t="n">
        <v>0.324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8"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Hospitalization for Mental Illness: Ages 6 to 17 (FUH-CH)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 &amp; CHIP</t>
        </is>
      </c>
      <c r="D4" t="inlineStr">
        <is>
          <t>Administrative</t>
        </is>
      </c>
      <c r="E4" t="inlineStr">
        <is>
          <t>Percentage of Discharges for Children Hospitalized for Treatment of Mental Illness or Intentional Self-Harm with a Follow-Up Visit Within 30 Days after Discharge: Ages 6 to 17</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0.866</v>
      </c>
      <c r="J4" s="4" t="n">
        <v>0.715</v>
      </c>
      <c r="K4" s="4" t="n">
        <v>0.868</v>
      </c>
      <c r="L4" s="4" t="n">
        <v>0.325</v>
      </c>
      <c r="M4" s="4" t="n">
        <v>0.642</v>
      </c>
      <c r="N4" s="4" t="n">
        <v>0.793</v>
      </c>
    </row>
    <row r="5">
      <c r="A5" t="inlineStr">
        <is>
          <t>30-Day Follow-Up</t>
        </is>
      </c>
      <c r="B5" t="n">
        <v>2022</v>
      </c>
      <c r="C5" t="inlineStr">
        <is>
          <t>Medicaid &amp; CHIP</t>
        </is>
      </c>
      <c r="D5" t="inlineStr">
        <is>
          <t>Administrative</t>
        </is>
      </c>
      <c r="E5" t="inlineStr">
        <is>
          <t>Percentage of Discharges for Children Hospitalized for Treatment of Mental Illness or Intentional Self-Harm with a Follow-Up Visit Within 30 Days after Discharge: Ages 6 to 17</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Rates were audited or validated.</t>
        </is>
      </c>
      <c r="I5" s="4" t="n">
        <v>0.869</v>
      </c>
      <c r="J5" s="4" t="n">
        <v>0.704</v>
      </c>
      <c r="K5" s="4" t="n">
        <v>0.88</v>
      </c>
      <c r="L5" s="4" t="n">
        <v>0.168</v>
      </c>
      <c r="M5" s="4" t="n">
        <v>0.621</v>
      </c>
      <c r="N5" s="4" t="n">
        <v>0.796</v>
      </c>
    </row>
    <row r="6">
      <c r="A6" t="inlineStr">
        <is>
          <t>30-Day Follow-Up</t>
        </is>
      </c>
      <c r="B6" t="n">
        <v>2023</v>
      </c>
      <c r="C6" t="inlineStr">
        <is>
          <t>Medicaid &amp; CHIP</t>
        </is>
      </c>
      <c r="D6" t="inlineStr">
        <is>
          <t>Administrative</t>
        </is>
      </c>
      <c r="E6" t="inlineStr">
        <is>
          <t>Percentage of Discharges for Children Hospitalized for Treatment of Mental Illness or Intentional Self-Harm with a Follow-Up Visit Within 30 Days after Discharge: Ages 6 to 17</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0.862</v>
      </c>
      <c r="J6" s="4" t="n">
        <v>0.721</v>
      </c>
      <c r="K6" s="4" t="n">
        <v>0.862</v>
      </c>
      <c r="L6" s="4" t="n">
        <v>0.374</v>
      </c>
      <c r="M6" s="4" t="n">
        <v>0.626</v>
      </c>
      <c r="N6" s="4" t="n">
        <v>0.782</v>
      </c>
    </row>
    <row r="7">
      <c r="A7" t="inlineStr">
        <is>
          <t>30-Day Follow-Up</t>
        </is>
      </c>
      <c r="B7" t="n">
        <v>2024</v>
      </c>
      <c r="C7" t="inlineStr">
        <is>
          <t>Medicaid (Title XIX), Title XXI-funded Medicaid Expansion CHIP, Separate CHIP (Title XXI)</t>
        </is>
      </c>
      <c r="D7" t="inlineStr">
        <is>
          <t>Administrative</t>
        </is>
      </c>
      <c r="E7" t="inlineStr">
        <is>
          <t>Percentage of Discharges for Children Hospitalized for Treatment of Mental Illness or Intentional Self-Harm with a Follow-Up Visit Within 30 Days after Discharge: Ages 6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0.873</v>
      </c>
      <c r="J7" s="4" t="n">
        <v>0.7</v>
      </c>
      <c r="K7" s="4" t="n">
        <v>0.873</v>
      </c>
      <c r="L7" s="4" t="n">
        <v>0.357</v>
      </c>
      <c r="M7" s="4" t="n">
        <v>0.628</v>
      </c>
      <c r="N7" s="4" t="n">
        <v>0.767</v>
      </c>
    </row>
    <row r="8">
      <c r="A8" t="inlineStr">
        <is>
          <t>30-Day Follow-Up</t>
        </is>
      </c>
      <c r="B8" t="n">
        <v>2024</v>
      </c>
      <c r="C8" t="inlineStr">
        <is>
          <t>Medicaid (Title XIX), Title XXI-funded Medicaid Expansion CHIP</t>
        </is>
      </c>
      <c r="D8" t="inlineStr">
        <is>
          <t>Administrative</t>
        </is>
      </c>
      <c r="E8" t="inlineStr">
        <is>
          <t>Percentage of Discharges for Children Hospitalized for Treatment of Mental Illness or Intentional Self-Harm with a Follow-Up Visit Within 30 Days after Discharge: Ages 6 to 17</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0.87</v>
      </c>
      <c r="J8" s="4" t="n">
        <v>0.7</v>
      </c>
      <c r="K8" s="4" t="n">
        <v>0.873</v>
      </c>
      <c r="L8" s="4" t="n">
        <v>0.357</v>
      </c>
      <c r="M8" s="4" t="n">
        <v>0.628</v>
      </c>
      <c r="N8" s="4" t="n">
        <v>0.767</v>
      </c>
    </row>
    <row r="9">
      <c r="A9" t="inlineStr">
        <is>
          <t>30-Day Follow-Up</t>
        </is>
      </c>
      <c r="B9" t="n">
        <v>2024</v>
      </c>
      <c r="C9" t="inlineStr">
        <is>
          <t>Separate CHIP (Title XXI)</t>
        </is>
      </c>
      <c r="D9" t="inlineStr">
        <is>
          <t>Administrative</t>
        </is>
      </c>
      <c r="E9" t="inlineStr">
        <is>
          <t>Percentage of Discharges for Children Hospitalized for Treatment of Mental Illness or Intentional Self-Harm with a Follow-Up Visit Within 30 Days after Discharge: Ages 6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0.897</v>
      </c>
      <c r="J9" s="4" t="n">
        <v>0.7</v>
      </c>
      <c r="K9" s="4" t="n">
        <v>0.873</v>
      </c>
      <c r="L9" s="4" t="n">
        <v>0.357</v>
      </c>
      <c r="M9" s="4" t="n">
        <v>0.628</v>
      </c>
      <c r="N9" s="4" t="n">
        <v>0.767</v>
      </c>
    </row>
    <row r="10">
      <c r="A10" t="inlineStr">
        <is>
          <t>7-Day Follow-Up</t>
        </is>
      </c>
      <c r="B10" t="n">
        <v>2021</v>
      </c>
      <c r="C10" t="inlineStr">
        <is>
          <t>Medicaid &amp; CHIP</t>
        </is>
      </c>
      <c r="D10" t="inlineStr">
        <is>
          <t>Administrative</t>
        </is>
      </c>
      <c r="E10" t="inlineStr">
        <is>
          <t>Percentage of Discharges for Children Hospitalized for Treatment of Mental Illness or Intentional Self-Harm with a Follow-Up Visit Within 7 Days after Discharge: Ages 6 to 17</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Rates were audited or validated.</t>
        </is>
      </c>
      <c r="I10" s="4" t="n">
        <v>0.739</v>
      </c>
      <c r="J10" s="4" t="n">
        <v>0.512</v>
      </c>
      <c r="K10" s="4" t="n">
        <v>0.739</v>
      </c>
      <c r="L10" s="4" t="n">
        <v>0.083</v>
      </c>
      <c r="M10" s="4" t="n">
        <v>0.421</v>
      </c>
      <c r="N10" s="4" t="n">
        <v>0.597</v>
      </c>
    </row>
    <row r="11">
      <c r="A11" t="inlineStr">
        <is>
          <t>7-Day Follow-Up</t>
        </is>
      </c>
      <c r="B11" t="n">
        <v>2022</v>
      </c>
      <c r="C11" t="inlineStr">
        <is>
          <t>Medicaid &amp; CHIP</t>
        </is>
      </c>
      <c r="D11" t="inlineStr">
        <is>
          <t>Administrative</t>
        </is>
      </c>
      <c r="E11" t="inlineStr">
        <is>
          <t>Percentage of Discharges for Children Hospitalized for Treatment of Mental Illness or Intentional Self-Harm with a Follow-Up Visit Within 7 Days after Discharge: Ages 6 to 17</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Rates were audited or validated.</t>
        </is>
      </c>
      <c r="I11" s="4" t="n">
        <v>0.732</v>
      </c>
      <c r="J11" s="4" t="n">
        <v>0.479</v>
      </c>
      <c r="K11" s="4" t="n">
        <v>0.737</v>
      </c>
      <c r="L11" s="4" t="n">
        <v>0.08</v>
      </c>
      <c r="M11" s="4" t="n">
        <v>0.401</v>
      </c>
      <c r="N11" s="4" t="n">
        <v>0.575</v>
      </c>
    </row>
    <row r="12">
      <c r="A12" t="inlineStr">
        <is>
          <t>7-Day Follow-Up</t>
        </is>
      </c>
      <c r="B12" t="n">
        <v>2023</v>
      </c>
      <c r="C12" t="inlineStr">
        <is>
          <t>Medicaid &amp; CHIP</t>
        </is>
      </c>
      <c r="D12" t="inlineStr">
        <is>
          <t>Administrative</t>
        </is>
      </c>
      <c r="E12" t="inlineStr">
        <is>
          <t>Percentage of Discharges for Children Hospitalized for Treatment of Mental Illness or Intentional Self-Harm with a Follow-Up Visit Within 7 Days after Discharge: Ages 6 to 17</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Rates were audited or validated.</t>
        </is>
      </c>
      <c r="I12" s="4" t="n">
        <v>0.718</v>
      </c>
      <c r="J12" s="4" t="n">
        <v>0.473</v>
      </c>
      <c r="K12" s="4" t="n">
        <v>0.724</v>
      </c>
      <c r="L12" s="4" t="n">
        <v>0.2</v>
      </c>
      <c r="M12" s="4" t="n">
        <v>0.386</v>
      </c>
      <c r="N12" s="4" t="n">
        <v>0.572</v>
      </c>
    </row>
    <row r="13">
      <c r="A13" t="inlineStr">
        <is>
          <t>7-Day Follow-Up</t>
        </is>
      </c>
      <c r="B13" t="n">
        <v>2024</v>
      </c>
      <c r="C13" t="inlineStr">
        <is>
          <t>Medicaid (Title XIX), Title XXI-funded Medicaid Expansion CHIP, Separate CHIP (Title XXI)</t>
        </is>
      </c>
      <c r="D13" t="inlineStr">
        <is>
          <t>Administrative</t>
        </is>
      </c>
      <c r="E13" t="inlineStr">
        <is>
          <t>Percentage of Discharges for Children Hospitalized for Treatment of Mental Illness or Intentional Self-Harm with a Follow-Up Visit Within 7 Days after Discharge: Ages 6 to 17</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0.732</v>
      </c>
      <c r="J13" s="4" t="n">
        <v>0.448</v>
      </c>
      <c r="K13" s="4" t="n">
        <v>0.732</v>
      </c>
      <c r="L13" s="4" t="n">
        <v>0.182</v>
      </c>
      <c r="M13" s="4" t="n">
        <v>0.352</v>
      </c>
      <c r="N13" s="4" t="n">
        <v>0.5639999999999999</v>
      </c>
    </row>
    <row r="14">
      <c r="A14" t="inlineStr">
        <is>
          <t>7-Day Follow-Up</t>
        </is>
      </c>
      <c r="B14" t="n">
        <v>2024</v>
      </c>
      <c r="C14" t="inlineStr">
        <is>
          <t>Medicaid (Title XIX), Title XXI-funded Medicaid Expansion CHIP</t>
        </is>
      </c>
      <c r="D14" t="inlineStr">
        <is>
          <t>Administrative</t>
        </is>
      </c>
      <c r="E14" t="inlineStr">
        <is>
          <t>Percentage of Discharges for Children Hospitalized for Treatment of Mental Illness or Intentional Self-Harm with a Follow-Up Visit Within 7 Days after Discharge: Ages 6 to 17</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(15 MCOs). The state described the "other" data sources used to calculate the measure as the following: "Health Plan Billing Data." Rates were audited or validated.</t>
        </is>
      </c>
      <c r="I14" s="4" t="n">
        <v>0.731</v>
      </c>
      <c r="J14" s="4" t="n">
        <v>0.448</v>
      </c>
      <c r="K14" s="4" t="n">
        <v>0.732</v>
      </c>
      <c r="L14" s="4" t="n">
        <v>0.182</v>
      </c>
      <c r="M14" s="4" t="n">
        <v>0.352</v>
      </c>
      <c r="N14" s="4" t="n">
        <v>0.5639999999999999</v>
      </c>
    </row>
    <row r="15">
      <c r="A15" t="inlineStr">
        <is>
          <t>7-Day Follow-Up</t>
        </is>
      </c>
      <c r="B15" t="n">
        <v>2024</v>
      </c>
      <c r="C15" t="inlineStr">
        <is>
          <t>Separate CHIP (Title XXI)</t>
        </is>
      </c>
      <c r="D15" t="inlineStr">
        <is>
          <t>Administrative</t>
        </is>
      </c>
      <c r="E15" t="inlineStr">
        <is>
          <t>Percentage of Discharges for Children Hospitalized for Treatment of Mental Illness or Intentional Self-Harm with a Follow-Up Visit Within 7 Days after Discharge: Ages 6 to 17</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Data." Rates were audited or validated.</t>
        </is>
      </c>
      <c r="I15" s="4" t="n">
        <v>0.742</v>
      </c>
      <c r="J15" s="4" t="n">
        <v>0.448</v>
      </c>
      <c r="K15" s="4" t="n">
        <v>0.732</v>
      </c>
      <c r="L15" s="4" t="n">
        <v>0.182</v>
      </c>
      <c r="M15" s="4" t="n">
        <v>0.352</v>
      </c>
      <c r="N15" s="4" t="n">
        <v>0.5639999999999999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8"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After Hospitalization for Mental Illness: Age 18 and Older (FUH-AD)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30-Day Follow-Up</t>
        </is>
      </c>
      <c r="B4" t="n">
        <v>2021</v>
      </c>
      <c r="C4" t="inlineStr">
        <is>
          <t>Medicaid</t>
        </is>
      </c>
      <c r="D4" t="inlineStr">
        <is>
          <t>Administrative</t>
        </is>
      </c>
      <c r="E4" t="inlineStr">
        <is>
          <t>Percentage of  Discharges for Adults Hospitalized for Treatment of Mental Illness or Intentional Self-Harm with a Follow-Up Visit Within 30 Days after Discharge: Ages 18 to 64</t>
        </is>
      </c>
      <c r="F4" t="inlineStr">
        <is>
          <t>Higher values are better</t>
        </is>
      </c>
      <c r="G4" t="inlineStr">
        <is>
          <t>Mathematica analysis of the Quality Measure Reporting (QMR) system reports for the FFY 2021 reporting cycle as of June 1, 2023.</t>
        </is>
      </c>
      <c r="H4" t="inlineStr">
        <is>
          <t>State-specific comments: Rates include FFS and managed care populations (47 MCOs). Rates were audited or validated. Numerator and denominator include age 65+ population.</t>
        </is>
      </c>
      <c r="I4" s="4" t="n">
        <v>0.65</v>
      </c>
      <c r="J4" s="4" t="n">
        <v>0.5679999999999999</v>
      </c>
      <c r="K4" s="4" t="n">
        <v>0.741</v>
      </c>
      <c r="L4" s="4" t="n">
        <v>0.219</v>
      </c>
      <c r="M4" s="4" t="n">
        <v>0.488</v>
      </c>
      <c r="N4" s="4" t="n">
        <v>0.648</v>
      </c>
    </row>
    <row r="5">
      <c r="A5" t="inlineStr">
        <is>
          <t>30-Day Follow-Up</t>
        </is>
      </c>
      <c r="B5" t="n">
        <v>2022</v>
      </c>
      <c r="C5" t="inlineStr">
        <is>
          <t>Medicaid</t>
        </is>
      </c>
      <c r="D5" t="inlineStr">
        <is>
          <t>Administrative</t>
        </is>
      </c>
      <c r="E5" t="inlineStr">
        <is>
          <t>Percentage of  Discharges for Adults Hospitalized for Treatment of Mental Illness or Intentional Self-Harm with a Follow-Up Visit Within 30 Days after Discharge: Ages 18 to 64</t>
        </is>
      </c>
      <c r="F5" t="inlineStr">
        <is>
          <t>Higher values are better</t>
        </is>
      </c>
      <c r="G5" t="inlineStr">
        <is>
          <t>Mathematica analysis of the Quality Measure Reporting (QMR) system reports for the FFY 2022 reporting cycle as of June 1, 2023.</t>
        </is>
      </c>
      <c r="H5" t="inlineStr">
        <is>
          <t>State-specific comments: Rates include FFS and managed care populations (46 MCOs). Rates were audited or validated. State reported using HEDIS age groups. Numerator and denominator include age 65+ population.</t>
        </is>
      </c>
      <c r="I5" s="4" t="n">
        <v>0.666</v>
      </c>
      <c r="J5" s="4" t="n">
        <v>0.545</v>
      </c>
      <c r="K5" s="4" t="n">
        <v>0.76</v>
      </c>
      <c r="L5" s="4" t="n">
        <v>0.228</v>
      </c>
      <c r="M5" s="4" t="n">
        <v>0.483</v>
      </c>
      <c r="N5" s="4" t="n">
        <v>0.649</v>
      </c>
    </row>
    <row r="6">
      <c r="A6" t="inlineStr">
        <is>
          <t>30-Day Follow-Up</t>
        </is>
      </c>
      <c r="B6" t="n">
        <v>2023</v>
      </c>
      <c r="C6" t="inlineStr">
        <is>
          <t>Medicaid</t>
        </is>
      </c>
      <c r="D6" t="inlineStr">
        <is>
          <t>Administrative</t>
        </is>
      </c>
      <c r="E6" t="inlineStr">
        <is>
          <t>Percentage of Discharges for Adults Hospitalized for Treatment of Mental Illness or Intentional Self-Harm with a Follow-Up Visit Within 30 Days after Discharge: Ages 18 to 64</t>
        </is>
      </c>
      <c r="F6" t="inlineStr">
        <is>
          <t>Higher values are better</t>
        </is>
      </c>
      <c r="G6" t="inlineStr">
        <is>
          <t>Mathematica analysis of the Quality Measure Reporting (QMR) system reports for the 2023 Core Set as of May 16, 2024.</t>
        </is>
      </c>
      <c r="H6" t="inlineStr">
        <is>
          <t>State-specific comments: Rates include FFS and managed care populations (47 MCOs). Rates were audited or validated.</t>
        </is>
      </c>
      <c r="I6" s="4" t="n">
        <v>0.657</v>
      </c>
      <c r="J6" s="4" t="n">
        <v>0.539</v>
      </c>
      <c r="K6" s="4" t="n">
        <v>0.77</v>
      </c>
      <c r="L6" s="4" t="n">
        <v>0.256</v>
      </c>
      <c r="M6" s="4" t="n">
        <v>0.453</v>
      </c>
      <c r="N6" s="4" t="n">
        <v>0.628</v>
      </c>
    </row>
    <row r="7">
      <c r="A7" t="inlineStr">
        <is>
          <t>30-Day Follow-Up</t>
        </is>
      </c>
      <c r="B7" t="n">
        <v>2024</v>
      </c>
      <c r="C7" t="inlineStr">
        <is>
          <t>Medicaid (Title XIX)</t>
        </is>
      </c>
      <c r="D7" t="inlineStr">
        <is>
          <t>Administrative</t>
        </is>
      </c>
      <c r="E7" t="inlineStr">
        <is>
          <t>Percentage of Discharges for Adults Hospitalized for Treatment of Mental Illness or Intentional Self-Harm with a Follow-Up Visit Within 30 Days after Discharge: Ages 18 to 64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(43 MCOs). Rates were audited or validated.</t>
        </is>
      </c>
      <c r="I7" s="4" t="n">
        <v>0.643</v>
      </c>
      <c r="J7" s="4" t="n">
        <v>0.514</v>
      </c>
      <c r="K7" s="4" t="n">
        <v>0.765</v>
      </c>
      <c r="L7" s="4" t="n">
        <v>0.257</v>
      </c>
      <c r="M7" s="4" t="n">
        <v>0.437</v>
      </c>
      <c r="N7" s="4" t="n">
        <v>0.61</v>
      </c>
    </row>
    <row r="8">
      <c r="A8" t="inlineStr">
        <is>
          <t>7-Day Follow-Up</t>
        </is>
      </c>
      <c r="B8" t="n">
        <v>2021</v>
      </c>
      <c r="C8" t="inlineStr">
        <is>
          <t>Medicaid</t>
        </is>
      </c>
      <c r="D8" t="inlineStr">
        <is>
          <t>Administrative</t>
        </is>
      </c>
      <c r="E8" t="inlineStr">
        <is>
          <t>Percentage of Discharges for Adults Hospitalized for Treatment of Mental Illness or Intentional Self-Harm with a Follow-Up Visit Within 7 Days after Discharge: Ages 18 to 64</t>
        </is>
      </c>
      <c r="F8" t="inlineStr">
        <is>
          <t>Higher values are better</t>
        </is>
      </c>
      <c r="G8" t="inlineStr">
        <is>
          <t>Mathematica analysis of the Quality Measure Reporting (QMR) system reports for the FFY 2021 reporting cycle as of June 1, 2023.</t>
        </is>
      </c>
      <c r="H8" t="inlineStr">
        <is>
          <t>State-specific comments: Rates include FFS and managed care populations (47 MCOs). Rates were audited or validated. Numerator and denominator include age 65+ population.</t>
        </is>
      </c>
      <c r="I8" s="4" t="n">
        <v>0.498</v>
      </c>
      <c r="J8" s="4" t="n">
        <v>0.36</v>
      </c>
      <c r="K8" s="4" t="n">
        <v>0.614</v>
      </c>
      <c r="L8" s="4" t="n">
        <v>0.161</v>
      </c>
      <c r="M8" s="4" t="n">
        <v>0.302</v>
      </c>
      <c r="N8" s="4" t="n">
        <v>0.439</v>
      </c>
    </row>
    <row r="9">
      <c r="A9" t="inlineStr">
        <is>
          <t>7-Day Follow-Up</t>
        </is>
      </c>
      <c r="B9" t="n">
        <v>2022</v>
      </c>
      <c r="C9" t="inlineStr">
        <is>
          <t>Medicaid</t>
        </is>
      </c>
      <c r="D9" t="inlineStr">
        <is>
          <t>Administrative</t>
        </is>
      </c>
      <c r="E9" t="inlineStr">
        <is>
          <t>Percentage of Discharges for Adults Hospitalized for Treatment of Mental Illness or Intentional Self-Harm with a Follow-Up Visit Within 7 Days after Discharge: Ages 18 to 64</t>
        </is>
      </c>
      <c r="F9" t="inlineStr">
        <is>
          <t>Higher values are better</t>
        </is>
      </c>
      <c r="G9" t="inlineStr">
        <is>
          <t>Mathematica analysis of the Quality Measure Reporting (QMR) system reports for the FFY 2022 reporting cycle as of June 1, 2023.</t>
        </is>
      </c>
      <c r="H9" t="inlineStr">
        <is>
          <t>State-specific comments: Rates include FFS and managed care populations (46 MCOs). Rates were audited or validated. State reported using HEDIS age groups. Numerator and denominator include age 65+ population.</t>
        </is>
      </c>
      <c r="I9" s="4" t="n">
        <v>0.514</v>
      </c>
      <c r="J9" s="4" t="n">
        <v>0.339</v>
      </c>
      <c r="K9" s="4" t="n">
        <v>0.652</v>
      </c>
      <c r="L9" s="4" t="n">
        <v>0.15</v>
      </c>
      <c r="M9" s="4" t="n">
        <v>0.286</v>
      </c>
      <c r="N9" s="4" t="n">
        <v>0.433</v>
      </c>
    </row>
    <row r="10">
      <c r="A10" t="inlineStr">
        <is>
          <t>7-Day Follow-Up</t>
        </is>
      </c>
      <c r="B10" t="n">
        <v>2023</v>
      </c>
      <c r="C10" t="inlineStr">
        <is>
          <t>Medicaid</t>
        </is>
      </c>
      <c r="D10" t="inlineStr">
        <is>
          <t>Administrative</t>
        </is>
      </c>
      <c r="E10" t="inlineStr">
        <is>
          <t>Percentage of Discharges for Adults Hospitalized for Treatment of Mental Illness or Intentional Self-Harm with a Follow-Up Visit Within 7 Days after Discharge: Ages 18 to 64</t>
        </is>
      </c>
      <c r="F10" t="inlineStr">
        <is>
          <t>Higher values are better</t>
        </is>
      </c>
      <c r="G10" t="inlineStr">
        <is>
          <t>Mathematica analysis of the Quality Measure Reporting (QMR) system reports for the 2023 Core Set as of May 16, 2024.</t>
        </is>
      </c>
      <c r="H10" t="inlineStr">
        <is>
          <t>State-specific comments: Rates include FFS and managed care populations (47 MCOs). Rates were audited or validated.</t>
        </is>
      </c>
      <c r="I10" s="4" t="n">
        <v>0.498</v>
      </c>
      <c r="J10" s="4" t="n">
        <v>0.323</v>
      </c>
      <c r="K10" s="4" t="n">
        <v>0.636</v>
      </c>
      <c r="L10" s="4" t="n">
        <v>0.144</v>
      </c>
      <c r="M10" s="4" t="n">
        <v>0.27</v>
      </c>
      <c r="N10" s="4" t="n">
        <v>0.412</v>
      </c>
    </row>
    <row r="11">
      <c r="A11" t="inlineStr">
        <is>
          <t>7-Day Follow-Up</t>
        </is>
      </c>
      <c r="B11" t="n">
        <v>2024</v>
      </c>
      <c r="C11" t="inlineStr">
        <is>
          <t>Medicaid (Title XIX)</t>
        </is>
      </c>
      <c r="D11" t="inlineStr">
        <is>
          <t>Administrative</t>
        </is>
      </c>
      <c r="E11" t="inlineStr">
        <is>
          <t>Percentage of Discharges for Adults Hospitalized for Treatment of Mental Illness or Intentional Self-Harm with a Follow-Up Visit Within 7 Days after Discharge: Ages 18 to 64</t>
        </is>
      </c>
      <c r="F11" t="inlineStr">
        <is>
          <t>Higher values are better</t>
        </is>
      </c>
      <c r="G11" t="inlineStr">
        <is>
          <t>Mathematica analysis of the Quality Measure Reporting (QMR) system reports for the 2024 Core Set as of April 28, 2025.</t>
        </is>
      </c>
      <c r="H11" t="inlineStr">
        <is>
          <t>State-specific comments: Rates include FFS and managed care populations (43 MCOs). Rates were audited or validated.</t>
        </is>
      </c>
      <c r="I11" s="4" t="n">
        <v>0.475</v>
      </c>
      <c r="J11" s="4" t="n">
        <v>0.323</v>
      </c>
      <c r="K11" s="4" t="n">
        <v>0.626</v>
      </c>
      <c r="L11" s="4" t="n">
        <v>0.141</v>
      </c>
      <c r="M11" s="4" t="n">
        <v>0.268</v>
      </c>
      <c r="N11" s="4" t="n">
        <v>0.401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4"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Follow-Up Care for Children Prescribed Attention-Deficit/Hyperactivity Disorder (ADHD) Medication: Ages 6 to 12 (ADD-CH)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Continuation &amp; Maintenance Phase</t>
        </is>
      </c>
      <c r="B4" t="n">
        <v>2021</v>
      </c>
      <c r="C4" t="inlineStr">
        <is>
          <t>Medicaid &amp; CHIP</t>
        </is>
      </c>
      <c r="D4" t="inlineStr">
        <is>
          <t>Administrative</t>
        </is>
      </c>
      <c r="E4" t="inlineStr">
        <is>
          <t>Percentage Newly Prescribed ADHD Medication with at Least Two Follow-Up Visits in the 9-Month Continuation and Maintenance Phase: Ages 6 to 12</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0.669</v>
      </c>
      <c r="J4" s="4" t="n">
        <v>0.578</v>
      </c>
      <c r="K4" s="4" t="n">
        <v>1</v>
      </c>
      <c r="L4" s="4" t="n">
        <v>0.168</v>
      </c>
      <c r="M4" s="4" t="n">
        <v>0.519</v>
      </c>
      <c r="N4" s="4" t="n">
        <v>0.626</v>
      </c>
    </row>
    <row r="5">
      <c r="A5" t="inlineStr">
        <is>
          <t>Continuation &amp; Maintenance Phase</t>
        </is>
      </c>
      <c r="B5" t="n">
        <v>2022</v>
      </c>
      <c r="C5" t="inlineStr">
        <is>
          <t>Medicaid &amp; CHIP</t>
        </is>
      </c>
      <c r="D5" t="inlineStr">
        <is>
          <t>Administrative</t>
        </is>
      </c>
      <c r="E5" t="inlineStr">
        <is>
          <t>Percentage Newly Prescribed ADHD Medication with at Least Two Follow-Up Visits in the 9-Month Continuation and Maintenance Phase: Ages 6 to 12</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Rates were audited or validated.</t>
        </is>
      </c>
      <c r="I5" s="4" t="n">
        <v>0.617</v>
      </c>
      <c r="J5" s="4" t="n">
        <v>0.541</v>
      </c>
      <c r="K5" s="4" t="n">
        <v>1</v>
      </c>
      <c r="L5" s="4" t="n">
        <v>0.076</v>
      </c>
      <c r="M5" s="4" t="n">
        <v>0.451</v>
      </c>
      <c r="N5" s="4" t="n">
        <v>0.595</v>
      </c>
    </row>
    <row r="6">
      <c r="A6" t="inlineStr">
        <is>
          <t>Continuation &amp; Maintenance Phase</t>
        </is>
      </c>
      <c r="B6" t="n">
        <v>2023</v>
      </c>
      <c r="C6" t="inlineStr">
        <is>
          <t>Medicaid &amp; CHIP</t>
        </is>
      </c>
      <c r="D6" t="inlineStr">
        <is>
          <t>Administrative</t>
        </is>
      </c>
      <c r="E6" t="inlineStr">
        <is>
          <t>Percentage Newly Prescribed ADHD Medication with at Least Two Follow-Up Visits in the 9-Month Continuation and Maintenance Phase: Ages 6 to 12</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0.642</v>
      </c>
      <c r="J6" s="4" t="n">
        <v>0.541</v>
      </c>
      <c r="K6" s="4" t="n">
        <v>0.9399999999999999</v>
      </c>
      <c r="L6" s="4" t="n">
        <v>0.179</v>
      </c>
      <c r="M6" s="4" t="n">
        <v>0.49</v>
      </c>
      <c r="N6" s="4" t="n">
        <v>0.604</v>
      </c>
    </row>
    <row r="7">
      <c r="A7" t="inlineStr">
        <is>
          <t>Continuation &amp; Maintenance Phase</t>
        </is>
      </c>
      <c r="B7" t="n">
        <v>2024</v>
      </c>
      <c r="C7" t="inlineStr">
        <is>
          <t>Medicaid (Title XIX), Title XXI-funded Medicaid Expansion CHIP, Separate CHIP (Title XXI)</t>
        </is>
      </c>
      <c r="D7" t="inlineStr">
        <is>
          <t>Administrative</t>
        </is>
      </c>
      <c r="E7" t="inlineStr">
        <is>
          <t>Percentage Newly Prescribed ADHD Medication with at Least Two Follow-Up Visits in the 9-Month Continuation and Maintenance Phase: Ages 6 to 12</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0.613</v>
      </c>
      <c r="J7" s="4" t="n">
        <v>0.548</v>
      </c>
      <c r="K7" s="4" t="n">
        <v>0.9340000000000001</v>
      </c>
      <c r="L7" s="4" t="n">
        <v>0.243</v>
      </c>
      <c r="M7" s="4" t="n">
        <v>0.473</v>
      </c>
      <c r="N7" s="4" t="n">
        <v>0.608</v>
      </c>
    </row>
    <row r="8">
      <c r="A8" t="inlineStr">
        <is>
          <t>Continuation &amp; Maintenance Phase</t>
        </is>
      </c>
      <c r="B8" t="n">
        <v>2024</v>
      </c>
      <c r="C8" t="inlineStr">
        <is>
          <t>Medicaid (Title XIX), Title XXI-funded Medicaid Expansion CHIP</t>
        </is>
      </c>
      <c r="D8" t="inlineStr">
        <is>
          <t>Administrative</t>
        </is>
      </c>
      <c r="E8" t="inlineStr">
        <is>
          <t>Percentage Newly Prescribed ADHD Medication with at Least Two Follow-Up Visits in the 9-Month Continuation and Maintenance Phase: Ages 6 to 12</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0.614</v>
      </c>
      <c r="J8" s="4" t="n">
        <v>0.548</v>
      </c>
      <c r="K8" s="4" t="n">
        <v>0.9340000000000001</v>
      </c>
      <c r="L8" s="4" t="n">
        <v>0.243</v>
      </c>
      <c r="M8" s="4" t="n">
        <v>0.473</v>
      </c>
      <c r="N8" s="4" t="n">
        <v>0.608</v>
      </c>
    </row>
    <row r="9">
      <c r="A9" t="inlineStr">
        <is>
          <t>Continuation &amp; Maintenance Phase</t>
        </is>
      </c>
      <c r="B9" t="n">
        <v>2024</v>
      </c>
      <c r="C9" t="inlineStr">
        <is>
          <t>Separate CHIP (Title XXI)</t>
        </is>
      </c>
      <c r="D9" t="inlineStr">
        <is>
          <t>Administrative</t>
        </is>
      </c>
      <c r="E9" t="inlineStr">
        <is>
          <t>Percentage Newly Prescribed ADHD Medication with at Least Two Follow-Up Visits in the 9-Month Continuation and Maintenance Phase: Ages 6 to 12</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0.61</v>
      </c>
      <c r="J9" s="4" t="n">
        <v>0.548</v>
      </c>
      <c r="K9" s="4" t="n">
        <v>0.9340000000000001</v>
      </c>
      <c r="L9" s="4" t="n">
        <v>0.243</v>
      </c>
      <c r="M9" s="4" t="n">
        <v>0.473</v>
      </c>
      <c r="N9" s="4" t="n">
        <v>0.608</v>
      </c>
    </row>
    <row r="10">
      <c r="A10" t="inlineStr">
        <is>
          <t>Initiation Phase</t>
        </is>
      </c>
      <c r="B10" t="n">
        <v>2021</v>
      </c>
      <c r="C10" t="inlineStr">
        <is>
          <t>Medicaid &amp; CHIP</t>
        </is>
      </c>
      <c r="D10" t="inlineStr">
        <is>
          <t>Administrative</t>
        </is>
      </c>
      <c r="E10" t="inlineStr">
        <is>
          <t>Percentage Newly Prescribed ADHD Medication with at Least One Follow-Up Visit During the 30-Day Initiation Phase: Ages 6 to 12</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Rates were audited or validated.</t>
        </is>
      </c>
      <c r="I10" s="4" t="n">
        <v>0.581</v>
      </c>
      <c r="J10" s="4" t="n">
        <v>0.47</v>
      </c>
      <c r="K10" s="4" t="n">
        <v>0.679</v>
      </c>
      <c r="L10" s="4" t="n">
        <v>0.165</v>
      </c>
      <c r="M10" s="4" t="n">
        <v>0.414</v>
      </c>
      <c r="N10" s="4" t="n">
        <v>0.522</v>
      </c>
    </row>
    <row r="11">
      <c r="A11" t="inlineStr">
        <is>
          <t>Initiation Phase</t>
        </is>
      </c>
      <c r="B11" t="n">
        <v>2022</v>
      </c>
      <c r="C11" t="inlineStr">
        <is>
          <t>Medicaid &amp; CHIP</t>
        </is>
      </c>
      <c r="D11" t="inlineStr">
        <is>
          <t>Administrative</t>
        </is>
      </c>
      <c r="E11" t="inlineStr">
        <is>
          <t>Percentage Newly Prescribed ADHD Medication with at Least One Follow-Up Visit During the 30-Day Initiation Phase: Ages 6 to 12</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Rates were audited or validated.</t>
        </is>
      </c>
      <c r="I11" s="4" t="n">
        <v>0.533</v>
      </c>
      <c r="J11" s="4" t="n">
        <v>0.43</v>
      </c>
      <c r="K11" s="4" t="n">
        <v>0.74</v>
      </c>
      <c r="L11" s="4" t="n">
        <v>0.243</v>
      </c>
      <c r="M11" s="4" t="n">
        <v>0.364</v>
      </c>
      <c r="N11" s="4" t="n">
        <v>0.494</v>
      </c>
    </row>
    <row r="12">
      <c r="A12" t="inlineStr">
        <is>
          <t>Initiation Phase</t>
        </is>
      </c>
      <c r="B12" t="n">
        <v>2023</v>
      </c>
      <c r="C12" t="inlineStr">
        <is>
          <t>Medicaid &amp; CHIP</t>
        </is>
      </c>
      <c r="D12" t="inlineStr">
        <is>
          <t>Administrative</t>
        </is>
      </c>
      <c r="E12" t="inlineStr">
        <is>
          <t>Percentage Newly Prescribed ADHD Medication with at Least One Follow-Up Visit During the 30-Day Initiation Phase: Ages 6 to 12</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Rates were audited or validated.</t>
        </is>
      </c>
      <c r="I12" s="4" t="n">
        <v>0.577</v>
      </c>
      <c r="J12" s="4" t="n">
        <v>0.46</v>
      </c>
      <c r="K12" s="4" t="n">
        <v>0.645</v>
      </c>
      <c r="L12" s="4" t="n">
        <v>0.287</v>
      </c>
      <c r="M12" s="4" t="n">
        <v>0.42</v>
      </c>
      <c r="N12" s="4" t="n">
        <v>0.501</v>
      </c>
    </row>
    <row r="13">
      <c r="A13" t="inlineStr">
        <is>
          <t>Initiation Phase</t>
        </is>
      </c>
      <c r="B13" t="n">
        <v>2024</v>
      </c>
      <c r="C13" t="inlineStr">
        <is>
          <t>Medicaid (Title XIX), Title XXI-funded Medicaid Expansion CHIP, Separate CHIP (Title XXI)</t>
        </is>
      </c>
      <c r="D13" t="inlineStr">
        <is>
          <t>Administrative</t>
        </is>
      </c>
      <c r="E13" t="inlineStr">
        <is>
          <t>Percentage Newly Prescribed ADHD Medication with at Least One Follow-Up Visit During the 30-Day Initiation Phase: Ages 6 to 12</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0.555</v>
      </c>
      <c r="J13" s="4" t="n">
        <v>0.474</v>
      </c>
      <c r="K13" s="4" t="n">
        <v>0.629</v>
      </c>
      <c r="L13" s="4" t="n">
        <v>0.259</v>
      </c>
      <c r="M13" s="4" t="n">
        <v>0.411</v>
      </c>
      <c r="N13" s="4" t="n">
        <v>0.524</v>
      </c>
    </row>
    <row r="14">
      <c r="A14" t="inlineStr">
        <is>
          <t>Initiation Phase</t>
        </is>
      </c>
      <c r="B14" t="n">
        <v>2024</v>
      </c>
      <c r="C14" t="inlineStr">
        <is>
          <t>Medicaid (Title XIX), Title XXI-funded Medicaid Expansion CHIP</t>
        </is>
      </c>
      <c r="D14" t="inlineStr">
        <is>
          <t>Administrative</t>
        </is>
      </c>
      <c r="E14" t="inlineStr">
        <is>
          <t>Percentage Newly Prescribed ADHD Medication with at Least One Follow-Up Visit During the 30-Day Initiation Phase: Ages 6 to 12</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(15 MCOs). The state described the "other" data sources used to calculate the measure as the following: "Health Plan Billing Data." Rates were audited or validated.</t>
        </is>
      </c>
      <c r="I14" s="4" t="n">
        <v>0.554</v>
      </c>
      <c r="J14" s="4" t="n">
        <v>0.474</v>
      </c>
      <c r="K14" s="4" t="n">
        <v>0.629</v>
      </c>
      <c r="L14" s="4" t="n">
        <v>0.259</v>
      </c>
      <c r="M14" s="4" t="n">
        <v>0.411</v>
      </c>
      <c r="N14" s="4" t="n">
        <v>0.524</v>
      </c>
    </row>
    <row r="15">
      <c r="A15" t="inlineStr">
        <is>
          <t>Initiation Phase</t>
        </is>
      </c>
      <c r="B15" t="n">
        <v>2024</v>
      </c>
      <c r="C15" t="inlineStr">
        <is>
          <t>Separate CHIP (Title XXI)</t>
        </is>
      </c>
      <c r="D15" t="inlineStr">
        <is>
          <t>Administrative</t>
        </is>
      </c>
      <c r="E15" t="inlineStr">
        <is>
          <t>Percentage Newly Prescribed ADHD Medication with at Least One Follow-Up Visit During the 30-Day Initiation Phase: Ages 6 to 12</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Data." Rates were audited or validated.</t>
        </is>
      </c>
      <c r="I15" s="4" t="n">
        <v>0.5590000000000001</v>
      </c>
      <c r="J15" s="4" t="n">
        <v>0.474</v>
      </c>
      <c r="K15" s="4" t="n">
        <v>0.629</v>
      </c>
      <c r="L15" s="4" t="n">
        <v>0.259</v>
      </c>
      <c r="M15" s="4" t="n">
        <v>0.411</v>
      </c>
      <c r="N15" s="4" t="n">
        <v>0.524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28" customWidth="1" min="1" max="1"/>
    <col width="13" customWidth="1" min="2" max="2"/>
    <col width="22"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Hemoglobin A1c Control for Patients with Diabetes: Ages 18 to 75 (HBD-AD)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HbA1c Control (&lt;8.0%)</t>
        </is>
      </c>
      <c r="B4" t="n">
        <v>2023</v>
      </c>
      <c r="C4" t="inlineStr">
        <is>
          <t>Medicaid</t>
        </is>
      </c>
      <c r="D4" t="inlineStr">
        <is>
          <t>Hybrid</t>
        </is>
      </c>
      <c r="E4" t="inlineStr">
        <is>
          <t>Percentage with Diabetes (Type 1 or Type 2) who had Hemoglobin A1c in Control (&lt;8.0%): Ages 18 to 64</t>
        </is>
      </c>
      <c r="F4" t="inlineStr">
        <is>
          <t>Higher values are better</t>
        </is>
      </c>
      <c r="G4" t="inlineStr">
        <is>
          <t>Mathematica analysis of the Quality Measure Reporting (QMR) system reports for the 2023 Core Set as of May 16, 2024.</t>
        </is>
      </c>
      <c r="H4" t="inlineStr">
        <is>
          <t>State-specific comments: Rates include managed care population (26 MCOs). The state described the "other" data sources used to calculate the measure as the following: "Managed care health plan billing data." Sample size is 10,550; measure-eligible population is 310,788. Rates were audited or validated.</t>
        </is>
      </c>
      <c r="I4" s="4" t="n">
        <v>0.551</v>
      </c>
      <c r="J4" s="4" t="n">
        <v>0.522</v>
      </c>
      <c r="K4" s="4" t="n">
        <v>0.593</v>
      </c>
      <c r="L4" s="4" t="n">
        <v>0.038</v>
      </c>
      <c r="M4" s="4" t="n">
        <v>0.461</v>
      </c>
      <c r="N4" s="4" t="n">
        <v>0.55</v>
      </c>
    </row>
    <row r="5">
      <c r="A5" t="inlineStr">
        <is>
          <t>HbA1c Control (&lt;8.0%)</t>
        </is>
      </c>
      <c r="B5" t="n">
        <v>2024</v>
      </c>
      <c r="C5" t="inlineStr">
        <is>
          <t>Medicaid (Title XIX)</t>
        </is>
      </c>
      <c r="D5" t="inlineStr">
        <is>
          <t>Hybrid</t>
        </is>
      </c>
      <c r="E5" t="inlineStr">
        <is>
          <t>Percentage with Diabetes (Type 1 or Type 2) who had Hemoglobin A1c in Control (&lt;8.0%): Ages 18 to 64</t>
        </is>
      </c>
      <c r="F5" t="inlineStr">
        <is>
          <t>Higher values are better</t>
        </is>
      </c>
      <c r="G5" t="inlineStr">
        <is>
          <t>Mathematica analysis of the Quality Measure Reporting (QMR) system reports for the 2024 Core Set as of April 28, 2025.</t>
        </is>
      </c>
      <c r="H5" t="inlineStr">
        <is>
          <t>State-specific comments: Rates include managed care population (26 MCOs). The state described the "other" data sources used to calculate the measure as the following: "Health Plan Billing Data." Rates were audited or validated. State noted: "The rates are weighted based on the size of the measure-eligible population for each reporting unit."</t>
        </is>
      </c>
      <c r="I5" s="4" t="n">
        <v>0.621</v>
      </c>
      <c r="J5" s="4" t="n">
        <v>0.521</v>
      </c>
      <c r="K5" s="4" t="n">
        <v>0.643</v>
      </c>
      <c r="L5" s="4" t="n">
        <v>0.049</v>
      </c>
      <c r="M5" s="4" t="n">
        <v>0.336</v>
      </c>
      <c r="N5" s="4" t="n">
        <v>0.59</v>
      </c>
    </row>
    <row r="6">
      <c r="A6" t="inlineStr">
        <is>
          <t>HbA1c Poor Control (&gt;9.0%)</t>
        </is>
      </c>
      <c r="B6" t="n">
        <v>2023</v>
      </c>
      <c r="C6" t="inlineStr">
        <is>
          <t>Medicaid</t>
        </is>
      </c>
      <c r="D6" t="inlineStr">
        <is>
          <t>Hybrid</t>
        </is>
      </c>
      <c r="E6" t="inlineStr">
        <is>
          <t>Percentage with Diabetes (Type 1 or Type 2) who had Hemoglobin A1c in Poor Control (&gt;9.0%): Ages 18 to 64</t>
        </is>
      </c>
      <c r="F6" t="inlineStr">
        <is>
          <t>Lower values are better</t>
        </is>
      </c>
      <c r="G6" t="inlineStr">
        <is>
          <t>Mathematica analysis of the Quality Measure Reporting (QMR) system reports for the 2023 Core Set as of May 16, 2024.</t>
        </is>
      </c>
      <c r="H6" t="inlineStr">
        <is>
          <t>State-specific comments: Rates include managed care population (26 MCOs). The state described the "other" data sources used to calculate the measure as the following: "Managed care health plan billing data." Sample size is 10,550; measure-eligible population is 310,788. Rates were audited or validated.</t>
        </is>
      </c>
      <c r="I6" s="4" t="n">
        <v>0.358</v>
      </c>
      <c r="J6" s="4" t="n">
        <v>0.373</v>
      </c>
      <c r="K6" s="4" t="n">
        <v>0.7</v>
      </c>
      <c r="L6" s="4" t="n">
        <v>0.02</v>
      </c>
      <c r="M6" s="4" t="n">
        <v>0.346</v>
      </c>
      <c r="N6" s="4" t="n">
        <v>0.442</v>
      </c>
    </row>
    <row r="7">
      <c r="A7" t="inlineStr">
        <is>
          <t>HbA1c Poor Control (&gt;9.0%)</t>
        </is>
      </c>
      <c r="B7" t="n">
        <v>2024</v>
      </c>
      <c r="C7" t="inlineStr">
        <is>
          <t>Medicaid (Title XIX)</t>
        </is>
      </c>
      <c r="D7" t="inlineStr">
        <is>
          <t>Hybrid</t>
        </is>
      </c>
      <c r="E7" t="inlineStr">
        <is>
          <t>Percentage with Diabetes (Type 1 or Type 2) who had Hemoglobin A1c in Poor Control (&gt;9.0%): Ages 18 to 64</t>
        </is>
      </c>
      <c r="F7" t="inlineStr">
        <is>
          <t>Lower values are better</t>
        </is>
      </c>
      <c r="G7" t="inlineStr">
        <is>
          <t>Mathematica analysis of the Quality Measure Reporting (QMR) system reports for the 2024 Core Set as of April 28, 2025.</t>
        </is>
      </c>
      <c r="H7" t="inlineStr">
        <is>
          <t>State-specific comments: Rates include managed care population (26 MCOs). The state described the "other" data sources used to calculate the measure as the following: "Health Plan Billing Data." Rates were audited or validated. State noted: "The rates are weighted based on the size of the measure-eligible population for each reporting unit."</t>
        </is>
      </c>
      <c r="I7" s="4" t="n">
        <v>0.294</v>
      </c>
      <c r="J7" s="4" t="n">
        <v>0.388</v>
      </c>
      <c r="K7" s="4" t="n">
        <v>0.926</v>
      </c>
      <c r="L7" s="4" t="n">
        <v>0.025</v>
      </c>
      <c r="M7" s="4" t="n">
        <v>0.321</v>
      </c>
      <c r="N7" s="4" t="n">
        <v>0.545</v>
      </c>
    </row>
    <row r="8">
      <c r="A8" t="inlineStr"/>
      <c r="B8" t="n">
        <v>2021</v>
      </c>
      <c r="C8" t="inlineStr">
        <is>
          <t>Medicaid &amp; CHIP</t>
        </is>
      </c>
      <c r="D8" t="inlineStr">
        <is>
          <t>Hybrid</t>
        </is>
      </c>
      <c r="E8" t="inlineStr">
        <is>
          <t>Percentage with Diabetes (Type 1 or Type 2) who had Hemoglobin A1c in Poor Control (&gt;9.0%): Ages 18 to 64</t>
        </is>
      </c>
      <c r="F8" t="inlineStr">
        <is>
          <t>Lower values are better</t>
        </is>
      </c>
      <c r="G8" t="inlineStr">
        <is>
          <t>Mathematica analysis of the Quality Measure Reporting (QMR) system reports for the FFY 2021 reporting cycle as of June 1, 2023.</t>
        </is>
      </c>
      <c r="H8" t="inlineStr">
        <is>
          <t>State-specific comments: Rate includes managed care population (28 MCOs). Sample size is 11,435; measure-eligible population is 240,545. Rate was audited or validated. Differences in sample size and denominator are due to stratifications and some members dropping out when linking back to Medicaid data to determine age. Data include 65+ age range and excludes duals.</t>
        </is>
      </c>
      <c r="I8" s="4" t="n">
        <v>0.407</v>
      </c>
      <c r="J8" s="4" t="n">
        <v>0.438</v>
      </c>
      <c r="K8" s="4" t="n">
        <v>0.892</v>
      </c>
      <c r="L8" s="4" t="n">
        <v>0.29</v>
      </c>
      <c r="M8" s="4" t="n">
        <v>0.393</v>
      </c>
      <c r="N8" s="4" t="n">
        <v>0.519</v>
      </c>
    </row>
    <row r="9">
      <c r="A9" t="inlineStr"/>
      <c r="B9" t="n">
        <v>2022</v>
      </c>
      <c r="C9" t="inlineStr">
        <is>
          <t>Medicaid</t>
        </is>
      </c>
      <c r="D9" t="inlineStr">
        <is>
          <t>Hybrid</t>
        </is>
      </c>
      <c r="E9" t="inlineStr">
        <is>
          <t>Percentage with Diabetes (Type 1 or Type 2) who had Hemoglobin A1c in Poor Control (&gt;9.0%): Ages 18 to 64</t>
        </is>
      </c>
      <c r="F9" t="inlineStr">
        <is>
          <t>Lower values are better</t>
        </is>
      </c>
      <c r="G9" t="inlineStr">
        <is>
          <t>Mathematica analysis of the Quality Measure Reporting (QMR) system reports for the FFY 2022 reporting cycle as of June 1, 2023.</t>
        </is>
      </c>
      <c r="H9" t="inlineStr">
        <is>
          <t>State-specific comments: Rate includes managed care population (28 MCOs). Sample size is 11,435; measure-eligible population is 289,703. Rate was audited or validated. Our data include age 65+ and exclude duals.</t>
        </is>
      </c>
      <c r="I9" s="4" t="n">
        <v>0.358</v>
      </c>
      <c r="J9" s="4" t="n">
        <v>0.412</v>
      </c>
      <c r="K9" s="4" t="n">
        <v>0.734</v>
      </c>
      <c r="L9" s="4" t="n">
        <v>0.27</v>
      </c>
      <c r="M9" s="4" t="n">
        <v>0.368</v>
      </c>
      <c r="N9" s="4" t="n">
        <v>0.489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6" customWidth="1" min="1" max="1"/>
    <col width="13" customWidth="1" min="2" max="2"/>
    <col width="60" customWidth="1" min="3" max="3"/>
    <col width="58" customWidth="1" min="4" max="4"/>
    <col width="60"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Immunizations for Adolescents: Age 13 (IMA-CH)</t>
        </is>
      </c>
    </row>
    <row r="2"/>
    <row r="3">
      <c r="A3" s="1" t="inlineStr">
        <is>
          <t>Immunization Type</t>
        </is>
      </c>
      <c r="B3" s="1" t="inlineStr">
        <is>
          <t>Data Period</t>
        </is>
      </c>
      <c r="C3" s="1" t="inlineStr">
        <is>
          <t>Population</t>
        </is>
      </c>
      <c r="D3" s="1" t="inlineStr">
        <is>
          <t>Methodology</t>
        </is>
      </c>
      <c r="E3" s="1" t="inlineStr">
        <is>
          <t>Value Type</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inlineStr">
        <is>
          <t>Combination 1</t>
        </is>
      </c>
      <c r="B4" t="n">
        <v>2021</v>
      </c>
      <c r="C4" t="inlineStr">
        <is>
          <t>Medicaid &amp; CHIP</t>
        </is>
      </c>
      <c r="D4" t="inlineStr">
        <is>
          <t>Hybrid</t>
        </is>
      </c>
      <c r="E4" t="inlineStr">
        <is>
          <t>Percentage Up to Date on Recommended Immunizations (Combination 1) by Their 13th Birthday</t>
        </is>
      </c>
      <c r="F4" t="inlineStr">
        <is>
          <t>Mathematica analysis of the Quality Measure Reporting (QMR) system reports for the FFY 2021 reporting cycle as of June 1, 2023.</t>
        </is>
      </c>
      <c r="G4" t="inlineStr">
        <is>
          <t>State-specific comments: Rates include managed care population (16 MCOs). The state described the "other" data sources used to calculate the measure as the following: "Health Plan Billing Data." Denominator is the sample size; measure-eligible population is 103,026. Rates were audited or validated.</t>
        </is>
      </c>
      <c r="H4" s="4" t="n">
        <v>0.866</v>
      </c>
      <c r="I4" s="4" t="n">
        <v>0.782</v>
      </c>
      <c r="J4" s="4" t="n">
        <v>0.898</v>
      </c>
      <c r="K4" s="4" t="n">
        <v>0.095</v>
      </c>
      <c r="L4" s="4" t="n">
        <v>0.701</v>
      </c>
      <c r="M4" s="4" t="n">
        <v>0.856</v>
      </c>
    </row>
    <row r="5">
      <c r="A5" t="inlineStr">
        <is>
          <t>Combination 1</t>
        </is>
      </c>
      <c r="B5" t="n">
        <v>2022</v>
      </c>
      <c r="C5" t="inlineStr">
        <is>
          <t>Medicaid &amp; CHIP</t>
        </is>
      </c>
      <c r="D5" t="inlineStr">
        <is>
          <t>Hybrid</t>
        </is>
      </c>
      <c r="E5" t="inlineStr">
        <is>
          <t>Percentage Up to Date on Recommended Immunizations (Combination 1) by Their 13th Birthday</t>
        </is>
      </c>
      <c r="F5" t="inlineStr">
        <is>
          <t>Mathematica analysis of the Quality Measure Reporting (QMR) system reports for the FFY 2022 reporting cycle as of June 1, 2023.</t>
        </is>
      </c>
      <c r="G5" t="inlineStr">
        <is>
          <t>State-specific comments: Rates include managed care population (16 MCOs). The state described the "other" data sources used to calculate the measure as the following: "Health Plan Billing Data." Denominator is the sample size; measure-eligible population is 117,874. Rates were audited or validated.</t>
        </is>
      </c>
      <c r="H5" s="4" t="n">
        <v>0.848</v>
      </c>
      <c r="I5" s="4" t="n">
        <v>0.752</v>
      </c>
      <c r="J5" s="4" t="n">
        <v>0.876</v>
      </c>
      <c r="K5" s="4" t="n">
        <v>0.103</v>
      </c>
      <c r="L5" s="4" t="n">
        <v>0.6830000000000001</v>
      </c>
      <c r="M5" s="4" t="n">
        <v>0.825</v>
      </c>
    </row>
    <row r="6">
      <c r="A6" t="inlineStr">
        <is>
          <t>Combination 1</t>
        </is>
      </c>
      <c r="B6" t="n">
        <v>2023</v>
      </c>
      <c r="C6" t="inlineStr">
        <is>
          <t>Medicaid &amp; CHIP</t>
        </is>
      </c>
      <c r="D6" t="inlineStr">
        <is>
          <t>Hybrid</t>
        </is>
      </c>
      <c r="E6" t="inlineStr">
        <is>
          <t>Percentage Up to Date on Recommended Immunizations (Combination 1) by Their 13th Birthday</t>
        </is>
      </c>
      <c r="F6" t="inlineStr">
        <is>
          <t>Mathematica analysis of the Quality Measure Reporting (QMR) system reports for the 2023 Core Set as of May 16, 2024.</t>
        </is>
      </c>
      <c r="G6" t="inlineStr">
        <is>
          <t>State-specific comments: Rates include managed care population (15 MCOs). The state described the "other" data sources used to calculate the measure as the following: "Health Plan Billing Data." Denominator is the sample size; measure-eligible population is 120,565. Rates were audited or validated.</t>
        </is>
      </c>
      <c r="H6" s="4" t="n">
        <v>0.871</v>
      </c>
      <c r="I6" s="4" t="n">
        <v>0.765</v>
      </c>
      <c r="J6" s="4" t="n">
        <v>0.888</v>
      </c>
      <c r="K6" s="4" t="n">
        <v>0.112</v>
      </c>
      <c r="L6" s="4" t="n">
        <v>0.676</v>
      </c>
      <c r="M6" s="4" t="n">
        <v>0.838</v>
      </c>
    </row>
    <row r="7">
      <c r="A7" t="inlineStr">
        <is>
          <t>Combination 1</t>
        </is>
      </c>
      <c r="B7" t="n">
        <v>2024</v>
      </c>
      <c r="C7" t="inlineStr">
        <is>
          <t>Medicaid (Title XIX), Title XXI-funded Medicaid Expansion CHIP</t>
        </is>
      </c>
      <c r="D7" t="inlineStr">
        <is>
          <t>Administrative &amp; Electronic Clinical Data Systems (ECDS)</t>
        </is>
      </c>
      <c r="E7" t="inlineStr">
        <is>
          <t>Percentage Up to Date on Recommended Immunizations (Combination 1) by Their 13th Birthday</t>
        </is>
      </c>
      <c r="F7" t="inlineStr">
        <is>
          <t>Mathematica analysis of the Quality Measure Reporting (QMR) system reports for the 2024 Core Set as of April 28, 2025.</t>
        </is>
      </c>
      <c r="G7"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 data and produces a lower rate potentially due to the limitations of the data source. Combining the fee-for-service administrative rate and the managed care rate has lowered rates compared to previous years when the state only reported the managed care rate."</t>
        </is>
      </c>
      <c r="H7" s="4" t="n">
        <v>0.8149999999999999</v>
      </c>
      <c r="I7" s="4" t="n">
        <v>0.753</v>
      </c>
      <c r="J7" s="4" t="n">
        <v>0.907</v>
      </c>
      <c r="K7" s="4" t="n">
        <v>0.277</v>
      </c>
      <c r="L7" s="4" t="n">
        <v>0.636</v>
      </c>
      <c r="M7" s="4" t="n">
        <v>0.824</v>
      </c>
    </row>
    <row r="8">
      <c r="A8" t="inlineStr">
        <is>
          <t>Combination 1</t>
        </is>
      </c>
      <c r="B8" t="n">
        <v>2024</v>
      </c>
      <c r="C8" t="inlineStr">
        <is>
          <t>Separate CHIP (Title XXI)</t>
        </is>
      </c>
      <c r="D8" t="inlineStr">
        <is>
          <t>Electronic Clinical Data Systems (ECDS)</t>
        </is>
      </c>
      <c r="E8" t="inlineStr">
        <is>
          <t>Percentage Up to Date on Recommended Immunizations (Combination 1) by Their 13th Birthday</t>
        </is>
      </c>
      <c r="F8" t="inlineStr">
        <is>
          <t>Mathematica analysis of the Quality Measure Reporting (QMR) system reports for the 2024 Core Set as of April 28, 2025.</t>
        </is>
      </c>
      <c r="G8" t="inlineStr">
        <is>
          <t>State-specific comments: Separate CHIP rates include managed care population (12 MCOs). Rates were audited or validated.</t>
        </is>
      </c>
      <c r="H8" s="4" t="n">
        <v>0.863</v>
      </c>
      <c r="I8" s="4" t="n">
        <v>0.753</v>
      </c>
      <c r="J8" s="4" t="n">
        <v>0.907</v>
      </c>
      <c r="K8" s="4" t="n">
        <v>0.277</v>
      </c>
      <c r="L8" s="4" t="n">
        <v>0.636</v>
      </c>
      <c r="M8" s="4" t="n">
        <v>0.824</v>
      </c>
    </row>
    <row r="9">
      <c r="A9" t="inlineStr">
        <is>
          <t>Human Papillomavirus (HPV) Vaccine</t>
        </is>
      </c>
      <c r="B9" t="n">
        <v>2021</v>
      </c>
      <c r="C9" t="inlineStr">
        <is>
          <t>Medicaid &amp; CHIP</t>
        </is>
      </c>
      <c r="D9" t="inlineStr">
        <is>
          <t>Hybrid</t>
        </is>
      </c>
      <c r="E9" t="inlineStr">
        <is>
          <t>Percentage who completed the Human Papillomavirus (HPV) Vaccine Series by Their 13th Birthday</t>
        </is>
      </c>
      <c r="F9" t="inlineStr">
        <is>
          <t>Mathematica analysis of the Quality Measure Reporting (QMR) system reports for the FFY 2021 reporting cycle as of June 1, 2023.</t>
        </is>
      </c>
      <c r="G9" t="inlineStr">
        <is>
          <t>State-specific comments: Rates include managed care population (16 MCOs). The state described the "other" data sources used to calculate the measure as the following: "Health Plan Billing Data." Denominator is the sample size; measure-eligible population is 103,026. Rates were audited or validated.</t>
        </is>
      </c>
      <c r="H9" s="4" t="n">
        <v>0.479</v>
      </c>
      <c r="I9" s="4" t="n">
        <v>0.377</v>
      </c>
      <c r="J9" s="4" t="n">
        <v>0.681</v>
      </c>
      <c r="K9" s="4" t="n">
        <v>0.047</v>
      </c>
      <c r="L9" s="4" t="n">
        <v>0.324</v>
      </c>
      <c r="M9" s="4" t="n">
        <v>0.427</v>
      </c>
    </row>
    <row r="10">
      <c r="A10" t="inlineStr">
        <is>
          <t>Human Papillomavirus (HPV) Vaccine</t>
        </is>
      </c>
      <c r="B10" t="n">
        <v>2022</v>
      </c>
      <c r="C10" t="inlineStr">
        <is>
          <t>Medicaid &amp; CHIP</t>
        </is>
      </c>
      <c r="D10" t="inlineStr">
        <is>
          <t>Hybrid</t>
        </is>
      </c>
      <c r="E10" t="inlineStr">
        <is>
          <t>Percentage who Completed the Human Papillomavirus (HPV) Vaccine Series by Their 13th Birthday</t>
        </is>
      </c>
      <c r="F10" t="inlineStr">
        <is>
          <t>Mathematica analysis of the Quality Measure Reporting (QMR) system reports for the FFY 2022 reporting cycle as of June 1, 2023.</t>
        </is>
      </c>
      <c r="G10" t="inlineStr">
        <is>
          <t>State-specific comments: Rates include managed care population (16 MCOs). The state described the "other" data sources used to calculate the measure as the following: "Health Plan Billing Data." Denominator is the sample size; measure-eligible population is 117,874. Rates were audited or validated.</t>
        </is>
      </c>
      <c r="H10" s="4" t="n">
        <v>0.462</v>
      </c>
      <c r="I10" s="4" t="n">
        <v>0.35</v>
      </c>
      <c r="J10" s="4" t="n">
        <v>0.635</v>
      </c>
      <c r="K10" s="4" t="n">
        <v>0.037</v>
      </c>
      <c r="L10" s="4" t="n">
        <v>0.315</v>
      </c>
      <c r="M10" s="4" t="n">
        <v>0.408</v>
      </c>
    </row>
    <row r="11">
      <c r="A11" t="inlineStr">
        <is>
          <t>Human Papillomavirus (HPV) Vaccine</t>
        </is>
      </c>
      <c r="B11" t="n">
        <v>2023</v>
      </c>
      <c r="C11" t="inlineStr">
        <is>
          <t>Medicaid &amp; CHIP</t>
        </is>
      </c>
      <c r="D11" t="inlineStr">
        <is>
          <t>Hybrid</t>
        </is>
      </c>
      <c r="E11" t="inlineStr">
        <is>
          <t>Percentage who Completed the Human Papillomavirus (HPV) Vaccine Series by Their 13th Birthday</t>
        </is>
      </c>
      <c r="F11" t="inlineStr">
        <is>
          <t>Mathematica analysis of the Quality Measure Reporting (QMR) system reports for the 2023 Core Set as of May 16, 2024.</t>
        </is>
      </c>
      <c r="G11" t="inlineStr">
        <is>
          <t>State-specific comments: Rates include managed care population (15 MCOs). The state described the "other" data sources used to calculate the measure as the following: "Health Plan Billing Data." Denominator is the sample size; measure-eligible population is 120,565. Rates were audited or validated.</t>
        </is>
      </c>
      <c r="H11" s="4" t="n">
        <v>0.464</v>
      </c>
      <c r="I11" s="4" t="n">
        <v>0.337</v>
      </c>
      <c r="J11" s="4" t="n">
        <v>0.595</v>
      </c>
      <c r="K11" s="4" t="n">
        <v>0.036</v>
      </c>
      <c r="L11" s="4" t="n">
        <v>0.299</v>
      </c>
      <c r="M11" s="4" t="n">
        <v>0.4</v>
      </c>
    </row>
    <row r="12">
      <c r="A12" t="inlineStr">
        <is>
          <t>Human Papillomavirus (HPV) Vaccine</t>
        </is>
      </c>
      <c r="B12" t="n">
        <v>2024</v>
      </c>
      <c r="C12" t="inlineStr">
        <is>
          <t>Medicaid (Title XIX), Title XXI-funded Medicaid Expansion CHIP</t>
        </is>
      </c>
      <c r="D12" t="inlineStr">
        <is>
          <t>Administrative &amp; Electronic Clinical Data Systems (ECDS)</t>
        </is>
      </c>
      <c r="E12" t="inlineStr">
        <is>
          <t>Percentage who Completed the Human Papillomavirus (HPV) Vaccine Series by Their 13th Birthday</t>
        </is>
      </c>
      <c r="F12" t="inlineStr">
        <is>
          <t>Mathematica analysis of the Quality Measure Reporting (QMR) system reports for the 2024 Core Set as of April 28, 2025.</t>
        </is>
      </c>
      <c r="G12" t="inlineStr">
        <is>
          <t>State-specific comments: Medicaid rates include FFS and managed care populations (15 MCOs). Rates were derived using Administrative data and Electronic Clinical Data Systems (ECDS). MMIS included FFS population (Medicaid [Title XIX]). ECDS included Managed Care population (Medicaid [Title XIX] and Medicaid-Expansion CHIP [Title XXI]). Rates were audited or validated. State noted: "The FFS administrative data is not as comprehensive as the health-plan submitted administrative data and produces a lower rate potentially due to the limitations of the data source. Combining the fee-for-service administrative rate and the managed care rate has lowered rates compared to previous years when the state only reported the managed care rate."</t>
        </is>
      </c>
      <c r="H12" s="4" t="n">
        <v>0.42</v>
      </c>
      <c r="I12" s="4" t="n">
        <v>0.333</v>
      </c>
      <c r="J12" s="4" t="n">
        <v>0.578</v>
      </c>
      <c r="K12" s="4" t="n">
        <v>0.138</v>
      </c>
      <c r="L12" s="4" t="n">
        <v>0.296</v>
      </c>
      <c r="M12" s="4" t="n">
        <v>0.387</v>
      </c>
    </row>
    <row r="13">
      <c r="A13" t="inlineStr">
        <is>
          <t>Human Papillomavirus (HPV) Vaccine</t>
        </is>
      </c>
      <c r="B13" t="n">
        <v>2024</v>
      </c>
      <c r="C13" t="inlineStr">
        <is>
          <t>Separate CHIP (Title XXI)</t>
        </is>
      </c>
      <c r="D13" t="inlineStr">
        <is>
          <t>Electronic Clinical Data Systems (ECDS)</t>
        </is>
      </c>
      <c r="E13" t="inlineStr">
        <is>
          <t>Percentage who Completed the Human Papillomavirus (HPV) Vaccine Series by Their 13th Birthday</t>
        </is>
      </c>
      <c r="F13" t="inlineStr">
        <is>
          <t>Mathematica analysis of the Quality Measure Reporting (QMR) system reports for the 2024 Core Set as of April 28, 2025.</t>
        </is>
      </c>
      <c r="G13" t="inlineStr">
        <is>
          <t>State-specific comments: Separate CHIP rates include managed care population (12 MCOs). Rates were audited or validated.</t>
        </is>
      </c>
      <c r="H13" s="4" t="n">
        <v>0.385</v>
      </c>
      <c r="I13" s="4" t="n">
        <v>0.333</v>
      </c>
      <c r="J13" s="4" t="n">
        <v>0.578</v>
      </c>
      <c r="K13" s="4" t="n">
        <v>0.138</v>
      </c>
      <c r="L13" s="4" t="n">
        <v>0.296</v>
      </c>
      <c r="M13" s="4" t="n">
        <v>0.387</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15" customWidth="1" min="1" max="1"/>
    <col width="47" customWidth="1" min="2" max="2"/>
    <col width="13" customWidth="1" min="3" max="3"/>
    <col width="27"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Initiation and Engagement of Substance Use Disorder Treatment: Age 18 and Older (IET-AD)</t>
        </is>
      </c>
    </row>
    <row r="2">
      <c r="A2" t="inlineStr">
        <is>
          <t>Initiation: Alcohol Use Disorder: Ages 18 to 64: Due to data source or specification changes, comparisons should only be made within the following Core Set Years: 2021-2022, 2023-2024. See measure information tab for more information.</t>
        </is>
      </c>
      <c r="B2" t="inlineStr"/>
    </row>
    <row r="3">
      <c r="A3" t="inlineStr">
        <is>
          <t>Engagement: Alcohol Use Disorder: Ages 18 to 64: Due to data source or specification changes, comparisons should only be made within the following Core Set Years: 2021-2022, 2023-2024. See measure information tab for more information.</t>
        </is>
      </c>
      <c r="B3" t="inlineStr"/>
    </row>
    <row r="4">
      <c r="A4" t="inlineStr">
        <is>
          <t>Engagement: Opioid Use Disorder: Ages 18 to 64: Due to data source or specification changes, comparisons should only be made within the following Core Set Years: 2021-2022, 2023-2024. See measure information tab for more information.</t>
        </is>
      </c>
      <c r="B4" t="inlineStr"/>
    </row>
    <row r="5">
      <c r="A5" t="inlineStr">
        <is>
          <t>Initiation: Total Substance Use Disorder: Ages 18 to 64: Due to data source or specification changes, comparisons should only be made within the following Core Set Years: 2021-2022, 2023-2024. See measure information tab for more information.</t>
        </is>
      </c>
      <c r="B5" t="inlineStr"/>
    </row>
    <row r="6">
      <c r="A6" t="inlineStr">
        <is>
          <t>Initiation: Other Substance Use Disorder: Ages 18 to 64: Due to data source or specification changes, comparisons should only be made within the following Core Set Years: 2021-2022, 2023-2024. See measure information tab for more information.</t>
        </is>
      </c>
      <c r="B6" t="inlineStr"/>
    </row>
    <row r="7">
      <c r="A7" t="inlineStr">
        <is>
          <t>Engagement: Other Substance Use Disorder: Ages 18 to 64: Due to data source or specification changes, comparisons should only be made within the following Core Set Years: 2021-2022, 2023-2024. See measure information tab for more information.</t>
        </is>
      </c>
      <c r="B7" t="inlineStr"/>
    </row>
    <row r="8">
      <c r="A8" t="inlineStr">
        <is>
          <t>Initiation: Opioid Use Disorder: Ages 18 to 64: Due to data source or specification changes, comparisons should only be made within the following Core Set Years: 2021-2022, 2023-2024. See measure information tab for more information.</t>
        </is>
      </c>
      <c r="B8" t="inlineStr"/>
    </row>
    <row r="9">
      <c r="A9" t="inlineStr">
        <is>
          <t>Engagement: Total Substance Use Disorder: Ages 18 to 64: Due to data source or specification changes, comparisons should only be made within the following Core Set Years: 2021-2022, 2023-2024. See measure information tab for more information.</t>
        </is>
      </c>
      <c r="B9" t="inlineStr"/>
    </row>
    <row r="10"/>
    <row r="11">
      <c r="A11" s="1" t="inlineStr">
        <is>
          <t>Rate</t>
        </is>
      </c>
      <c r="B11" s="1" t="inlineStr">
        <is>
          <t>Diagnosis</t>
        </is>
      </c>
      <c r="C11" s="1" t="inlineStr">
        <is>
          <t>Data Period</t>
        </is>
      </c>
      <c r="D11" s="1" t="inlineStr">
        <is>
          <t>Population</t>
        </is>
      </c>
      <c r="E11" s="1" t="inlineStr">
        <is>
          <t>Methodology</t>
        </is>
      </c>
      <c r="F11" s="1" t="inlineStr">
        <is>
          <t>Value Type</t>
        </is>
      </c>
      <c r="G11" s="1" t="inlineStr">
        <is>
          <t>Value Directionality</t>
        </is>
      </c>
      <c r="H11" s="1" t="inlineStr">
        <is>
          <t>Analysis Source</t>
        </is>
      </c>
      <c r="I11" s="1" t="inlineStr">
        <is>
          <t>Notes</t>
        </is>
      </c>
      <c r="J11" s="1" t="inlineStr">
        <is>
          <t>Value</t>
        </is>
      </c>
      <c r="K11" s="1" t="inlineStr">
        <is>
          <t>Median</t>
        </is>
      </c>
      <c r="L11" s="1" t="inlineStr">
        <is>
          <t>Maximum</t>
        </is>
      </c>
      <c r="M11" s="1" t="inlineStr">
        <is>
          <t>Minimum</t>
        </is>
      </c>
      <c r="N11" s="1" t="inlineStr">
        <is>
          <t>First quartile</t>
        </is>
      </c>
      <c r="O11" s="1" t="inlineStr">
        <is>
          <t>Third quartile</t>
        </is>
      </c>
    </row>
    <row r="12">
      <c r="A12" t="inlineStr">
        <is>
          <t>Engagement</t>
        </is>
      </c>
      <c r="B12" t="inlineStr">
        <is>
          <t>Alcohol Abuse or Dependence: Ages 18 to 64</t>
        </is>
      </c>
      <c r="C12" t="n">
        <v>2021</v>
      </c>
      <c r="D12" t="inlineStr">
        <is>
          <t>Medicaid &amp; Dual Eligibles</t>
        </is>
      </c>
      <c r="E12" t="inlineStr">
        <is>
          <t>Administrative</t>
        </is>
      </c>
      <c r="F12" t="inlineStr">
        <is>
          <t>Percentage with a New Episode of Alcohol Abuse or Dependence who Initiated and Engaged in Alcohol or Other Drug Treatment within 34 Days of the Initiation Visit: Ages 18 to 64</t>
        </is>
      </c>
      <c r="G12" t="inlineStr">
        <is>
          <t>Higher values are better</t>
        </is>
      </c>
      <c r="H12" t="inlineStr">
        <is>
          <t>Mathematica analysis of the Quality Measure Reporting (QMR) system reports for the FFY 2021 reporting cycle as of June 1, 2023.</t>
        </is>
      </c>
      <c r="I12" t="inlineStr">
        <is>
          <t>State-specific comments: Rates include managed care population (28 MCOs). The state described the "other" data sources used to calculate the measure as the following: "Health Plan Billing Data." Rates were audited or validated.</t>
        </is>
      </c>
      <c r="J12" s="4" t="n">
        <v>0.166</v>
      </c>
      <c r="K12" s="4" t="n">
        <v>0.125</v>
      </c>
      <c r="L12" s="4" t="n">
        <v>0.183</v>
      </c>
      <c r="M12" s="4" t="n">
        <v>0.035</v>
      </c>
      <c r="N12" s="4" t="n">
        <v>0.077</v>
      </c>
      <c r="O12" s="4" t="n">
        <v>0.146</v>
      </c>
    </row>
    <row r="13">
      <c r="A13" t="inlineStr">
        <is>
          <t>Engagement</t>
        </is>
      </c>
      <c r="B13" t="inlineStr">
        <is>
          <t>Alcohol Abuse or Dependence: Ages 18 to 64</t>
        </is>
      </c>
      <c r="C13" t="n">
        <v>2022</v>
      </c>
      <c r="D13" t="inlineStr">
        <is>
          <t>Medicaid &amp; Dual Eligibles</t>
        </is>
      </c>
      <c r="E13" t="inlineStr">
        <is>
          <t>Administrative</t>
        </is>
      </c>
      <c r="F13" t="inlineStr">
        <is>
          <t>Percentage with a New Episode of Alcohol Abuse or Dependence who Initiated and Engaged in Alcohol or Other Drug Treatment within 34 Days of the Initiation Visit: Ages 18 to 64</t>
        </is>
      </c>
      <c r="G13" t="inlineStr">
        <is>
          <t>Higher values are better</t>
        </is>
      </c>
      <c r="H13" t="inlineStr">
        <is>
          <t>Mathematica analysis of the Quality Measure Reporting (QMR) system reports for the FFY 2022 reporting cycle as of June 1, 2023.</t>
        </is>
      </c>
      <c r="I13" t="inlineStr">
        <is>
          <t>State-specific comments: Rates include managed care population (28 MCOs). The state described the "other" data sources used to calculate the measure as the following: "Health Plan Billing Data." Rates were audited or validated.</t>
        </is>
      </c>
      <c r="J13" s="4" t="n">
        <v>0.159</v>
      </c>
      <c r="K13" s="4" t="n">
        <v>0.122</v>
      </c>
      <c r="L13" s="4" t="n">
        <v>0.235</v>
      </c>
      <c r="M13" s="4" t="n">
        <v>0.026</v>
      </c>
      <c r="N13" s="4" t="n">
        <v>0.081</v>
      </c>
      <c r="O13" s="4" t="n">
        <v>0.144</v>
      </c>
    </row>
    <row r="14">
      <c r="A14" t="inlineStr">
        <is>
          <t>Engagement</t>
        </is>
      </c>
      <c r="B14" t="inlineStr">
        <is>
          <t>Alcohol Use Disorder: Ages 18 to 64</t>
        </is>
      </c>
      <c r="C14" t="n">
        <v>2023</v>
      </c>
      <c r="D14" t="inlineStr">
        <is>
          <t>Medicaid</t>
        </is>
      </c>
      <c r="E14" t="inlineStr">
        <is>
          <t>Administrative</t>
        </is>
      </c>
      <c r="F14" t="inlineStr">
        <is>
          <t>Percentage of New Episodes of Alcohol Use Disorder with Engagement of SUD Treatment within 34 Days of Initiation: Ages 18 to 64</t>
        </is>
      </c>
      <c r="G14" t="inlineStr">
        <is>
          <t>Higher values are better</t>
        </is>
      </c>
      <c r="H14" t="inlineStr">
        <is>
          <t>Mathematica analysis of the Quality Measure Reporting (QMR) system reports for the 2023 Core Set as of May 16, 2024.</t>
        </is>
      </c>
      <c r="I14" t="inlineStr">
        <is>
          <t>State-specific comments: Rates include managed care population (26 MCOs). The state described the "other" data sources used to calculate the measure as the following: "Health Plan Billing Data." Rates were audited or validated.</t>
        </is>
      </c>
      <c r="J14" s="4" t="n">
        <v>0.158</v>
      </c>
      <c r="K14" s="4" t="n">
        <v>0.132</v>
      </c>
      <c r="L14" s="4" t="n">
        <v>0.25</v>
      </c>
      <c r="M14" s="4" t="n">
        <v>0.037</v>
      </c>
      <c r="N14" s="4" t="n">
        <v>0.092</v>
      </c>
      <c r="O14" s="4" t="n">
        <v>0.163</v>
      </c>
    </row>
    <row r="15">
      <c r="A15" t="inlineStr">
        <is>
          <t>Engagement</t>
        </is>
      </c>
      <c r="B15" t="inlineStr">
        <is>
          <t>Alcohol Use Disorder: Ages 18 to 64</t>
        </is>
      </c>
      <c r="C15" t="n">
        <v>2024</v>
      </c>
      <c r="D15" t="inlineStr">
        <is>
          <t>Medicaid (Title XIX)</t>
        </is>
      </c>
      <c r="E15" t="inlineStr">
        <is>
          <t>Administrative</t>
        </is>
      </c>
      <c r="F15" t="inlineStr">
        <is>
          <t>Percentage of New Episodes of Alcohol Use Disorder with Engagement of SUD Treatment within 34 Days of Initiation: Ages 18 to 64</t>
        </is>
      </c>
      <c r="G15" t="inlineStr">
        <is>
          <t>Higher values are better</t>
        </is>
      </c>
      <c r="H15" t="inlineStr">
        <is>
          <t>Mathematica analysis of the Quality Measure Reporting (QMR) system reports for the 2024 Core Set as of April 28, 2025.</t>
        </is>
      </c>
      <c r="I15" t="inlineStr">
        <is>
          <t>State-specific comments: Rates include FFS and managed care populations (56 MCOs). Rates were audited or validated.</t>
        </is>
      </c>
      <c r="J15" s="4" t="n">
        <v>0.142</v>
      </c>
      <c r="K15" s="4" t="n">
        <v>0.136</v>
      </c>
      <c r="L15" s="4" t="n">
        <v>0.251</v>
      </c>
      <c r="M15" s="4" t="n">
        <v>0.048</v>
      </c>
      <c r="N15" s="4" t="n">
        <v>0.08799999999999999</v>
      </c>
      <c r="O15" s="4" t="n">
        <v>0.168</v>
      </c>
    </row>
    <row r="16">
      <c r="A16" t="inlineStr">
        <is>
          <t>Engagement</t>
        </is>
      </c>
      <c r="B16" t="inlineStr">
        <is>
          <t>Opioid Abuse or Dependence: Ages 18 to 64</t>
        </is>
      </c>
      <c r="C16" t="n">
        <v>2021</v>
      </c>
      <c r="D16" t="inlineStr">
        <is>
          <t>Medicaid &amp; Dual Eligibles</t>
        </is>
      </c>
      <c r="E16" t="inlineStr">
        <is>
          <t>Administrative</t>
        </is>
      </c>
      <c r="F16" t="inlineStr">
        <is>
          <t>Percentage with a New Episode of Opioid Abuse or Dependence who Initiated and Engaged in Alcohol or Other Drug Treatment within 34 Days of the Initiation Visit: Ages 18 to 64</t>
        </is>
      </c>
      <c r="G16" t="inlineStr">
        <is>
          <t>Higher values are better</t>
        </is>
      </c>
      <c r="H16" t="inlineStr">
        <is>
          <t>Mathematica analysis of the Quality Measure Reporting (QMR) system reports for the FFY 2021 reporting cycle as of June 1, 2023.</t>
        </is>
      </c>
      <c r="I16" t="inlineStr">
        <is>
          <t>State-specific comments: Rates include managed care population (28 MCOs). The state described the "other" data sources used to calculate the measure as the following: "Health Plan Billing Data." Rates were audited or validated.</t>
        </is>
      </c>
      <c r="J16" s="4" t="n">
        <v>0.379</v>
      </c>
      <c r="K16" s="4" t="n">
        <v>0.311</v>
      </c>
      <c r="L16" s="4" t="n">
        <v>0.576</v>
      </c>
      <c r="M16" s="4" t="n">
        <v>0.102</v>
      </c>
      <c r="N16" s="4" t="n">
        <v>0.185</v>
      </c>
      <c r="O16" s="4" t="n">
        <v>0.378</v>
      </c>
    </row>
    <row r="17">
      <c r="A17" t="inlineStr">
        <is>
          <t>Engagement</t>
        </is>
      </c>
      <c r="B17" t="inlineStr">
        <is>
          <t>Opioid Abuse or Dependence: Ages 18 to 64</t>
        </is>
      </c>
      <c r="C17" t="n">
        <v>2022</v>
      </c>
      <c r="D17" t="inlineStr">
        <is>
          <t>Medicaid &amp; Dual Eligibles</t>
        </is>
      </c>
      <c r="E17" t="inlineStr">
        <is>
          <t>Administrative</t>
        </is>
      </c>
      <c r="F17" t="inlineStr">
        <is>
          <t>Percentage with a New Episode of Opioid Abuse or Dependence who Initiated and Engaged in Alcohol or Other Drug Treatment within 34 Days of the Initiation Visit: Ages 18 to 64</t>
        </is>
      </c>
      <c r="G17" t="inlineStr">
        <is>
          <t>Higher values are better</t>
        </is>
      </c>
      <c r="H17" t="inlineStr">
        <is>
          <t>Mathematica analysis of the Quality Measure Reporting (QMR) system reports for the FFY 2022 reporting cycle as of June 1, 2023.</t>
        </is>
      </c>
      <c r="I17" t="inlineStr">
        <is>
          <t>State-specific comments: Rates include managed care population (28 MCOs). The state described the "other" data sources used to calculate the measure as the following: "Health Plan Billing Data." Rates were audited or validated.</t>
        </is>
      </c>
      <c r="J17" s="4" t="n">
        <v>0.355</v>
      </c>
      <c r="K17" s="4" t="n">
        <v>0.295</v>
      </c>
      <c r="L17" s="4" t="n">
        <v>0.512</v>
      </c>
      <c r="M17" s="4" t="n">
        <v>0.097</v>
      </c>
      <c r="N17" s="4" t="n">
        <v>0.175</v>
      </c>
      <c r="O17" s="4" t="n">
        <v>0.374</v>
      </c>
    </row>
    <row r="18">
      <c r="A18" t="inlineStr">
        <is>
          <t>Engagement</t>
        </is>
      </c>
      <c r="B18" t="inlineStr">
        <is>
          <t>Opioid Use Disorder: Ages 18 to 64</t>
        </is>
      </c>
      <c r="C18" t="n">
        <v>2023</v>
      </c>
      <c r="D18" t="inlineStr">
        <is>
          <t>Medicaid</t>
        </is>
      </c>
      <c r="E18" t="inlineStr">
        <is>
          <t>Administrative</t>
        </is>
      </c>
      <c r="F18" t="inlineStr">
        <is>
          <t>Percentage of New Episodes of Opioid Use Disorder with Engagement of SUD Treatment within 34 Days of Initiation: Ages 18 to 64</t>
        </is>
      </c>
      <c r="G18" t="inlineStr">
        <is>
          <t>Higher values are better</t>
        </is>
      </c>
      <c r="H18" t="inlineStr">
        <is>
          <t>Mathematica analysis of the Quality Measure Reporting (QMR) system reports for the 2023 Core Set as of May 16, 2024.</t>
        </is>
      </c>
      <c r="I18" t="inlineStr">
        <is>
          <t>State-specific comments: Rates include managed care population (26 MCOs). The state described the "other" data sources used to calculate the measure as the following: "Health Plan Billing Data." Rates were audited or validated.</t>
        </is>
      </c>
      <c r="J18" s="4" t="n">
        <v>0.376</v>
      </c>
      <c r="K18" s="4" t="n">
        <v>0.329</v>
      </c>
      <c r="L18" s="4" t="n">
        <v>0.522</v>
      </c>
      <c r="M18" s="4" t="n">
        <v>0.048</v>
      </c>
      <c r="N18" s="4" t="n">
        <v>0.2</v>
      </c>
      <c r="O18" s="4" t="n">
        <v>0.423</v>
      </c>
    </row>
    <row r="19">
      <c r="A19" t="inlineStr">
        <is>
          <t>Engagement</t>
        </is>
      </c>
      <c r="B19" t="inlineStr">
        <is>
          <t>Opioid Use Disorder: Ages 18 to 64</t>
        </is>
      </c>
      <c r="C19" t="n">
        <v>2024</v>
      </c>
      <c r="D19" t="inlineStr">
        <is>
          <t>Medicaid (Title XIX)</t>
        </is>
      </c>
      <c r="E19" t="inlineStr">
        <is>
          <t>Administrative</t>
        </is>
      </c>
      <c r="F19" t="inlineStr">
        <is>
          <t>Percentage of New Episodes of Opioid Use Disorder with Engagement of SUD Treatment within 34 Days of Initiation: Ages 18 to 64</t>
        </is>
      </c>
      <c r="G19" t="inlineStr">
        <is>
          <t>Higher values are better</t>
        </is>
      </c>
      <c r="H19" t="inlineStr">
        <is>
          <t>Mathematica analysis of the Quality Measure Reporting (QMR) system reports for the 2024 Core Set as of April 28, 2025.</t>
        </is>
      </c>
      <c r="I19" t="inlineStr">
        <is>
          <t>State-specific comments: Rates include FFS and managed care populations (56 MCOs). Rates were audited or validated.</t>
        </is>
      </c>
      <c r="J19" s="4" t="n">
        <v>0.304</v>
      </c>
      <c r="K19" s="4" t="n">
        <v>0.311</v>
      </c>
      <c r="L19" s="4" t="n">
        <v>0.552</v>
      </c>
      <c r="M19" s="4" t="n">
        <v>0.052</v>
      </c>
      <c r="N19" s="4" t="n">
        <v>0.227</v>
      </c>
      <c r="O19" s="4" t="n">
        <v>0.395</v>
      </c>
    </row>
    <row r="20">
      <c r="A20" t="inlineStr">
        <is>
          <t>Engagement</t>
        </is>
      </c>
      <c r="B20" t="inlineStr">
        <is>
          <t>Other Drug Abuse or Dependence: Ages 18 to 64</t>
        </is>
      </c>
      <c r="C20" t="n">
        <v>2021</v>
      </c>
      <c r="D20" t="inlineStr">
        <is>
          <t>Medicaid &amp; Dual Eligibles</t>
        </is>
      </c>
      <c r="E20" t="inlineStr">
        <is>
          <t>Administrative</t>
        </is>
      </c>
      <c r="F20" t="inlineStr">
        <is>
          <t>Percentage with a New Episode of Other Drug Abuse or Dependence who Initiated and Engaged in Alcohol or Other Drug Treatment within 34 Days of the Initiation Visit: Ages 18 to 64</t>
        </is>
      </c>
      <c r="G20" t="inlineStr">
        <is>
          <t>Higher values are better</t>
        </is>
      </c>
      <c r="H20" t="inlineStr">
        <is>
          <t>Mathematica analysis of the Quality Measure Reporting (QMR) system reports for the FFY 2021 reporting cycle as of June 1, 2023.</t>
        </is>
      </c>
      <c r="I20" t="inlineStr">
        <is>
          <t>State-specific comments: Rates include managed care population (28 MCOs). The state described the "other" data sources used to calculate the measure as the following: "Health Plan Billing Data." Rates were audited or validated.</t>
        </is>
      </c>
      <c r="J20" s="4" t="n">
        <v>0.185</v>
      </c>
      <c r="K20" s="4" t="n">
        <v>0.113</v>
      </c>
      <c r="L20" s="4" t="n">
        <v>0.196</v>
      </c>
      <c r="M20" s="4" t="n">
        <v>0.029</v>
      </c>
      <c r="N20" s="4" t="n">
        <v>0.078</v>
      </c>
      <c r="O20" s="4" t="n">
        <v>0.148</v>
      </c>
    </row>
    <row r="21">
      <c r="A21" t="inlineStr">
        <is>
          <t>Engagement</t>
        </is>
      </c>
      <c r="B21" t="inlineStr">
        <is>
          <t>Other Drug Abuse or Dependence: Ages 18 to 64</t>
        </is>
      </c>
      <c r="C21" t="n">
        <v>2022</v>
      </c>
      <c r="D21" t="inlineStr">
        <is>
          <t>Medicaid &amp; Dual Eligibles</t>
        </is>
      </c>
      <c r="E21" t="inlineStr">
        <is>
          <t>Administrative</t>
        </is>
      </c>
      <c r="F21" t="inlineStr">
        <is>
          <t>Percentage with a New Episode of Other Drug Abuse or Dependence who Initiated and Engaged in Alcohol or Other Drug Treatment within 34 Days of the Initiation Visit: Ages 18 to 64</t>
        </is>
      </c>
      <c r="G21" t="inlineStr">
        <is>
          <t>Higher values are better</t>
        </is>
      </c>
      <c r="H21" t="inlineStr">
        <is>
          <t>Mathematica analysis of the Quality Measure Reporting (QMR) system reports for the FFY 2022 reporting cycle as of June 1, 2023.</t>
        </is>
      </c>
      <c r="I21" t="inlineStr">
        <is>
          <t>State-specific comments: Rates include managed care population (28 MCOs). The state described the "other" data sources used to calculate the measure as the following: "Health Plan Billing Data." Rates were audited or validated.</t>
        </is>
      </c>
      <c r="J21" s="4" t="n">
        <v>0.166</v>
      </c>
      <c r="K21" s="4" t="n">
        <v>0.11</v>
      </c>
      <c r="L21" s="4" t="n">
        <v>0.286</v>
      </c>
      <c r="M21" s="4" t="n">
        <v>0.032</v>
      </c>
      <c r="N21" s="4" t="n">
        <v>0.079</v>
      </c>
      <c r="O21" s="4" t="n">
        <v>0.151</v>
      </c>
    </row>
    <row r="22">
      <c r="A22" t="inlineStr">
        <is>
          <t>Engagement</t>
        </is>
      </c>
      <c r="B22" t="inlineStr">
        <is>
          <t>Other Substance Use Disorder: Ages 18 to 64</t>
        </is>
      </c>
      <c r="C22" t="n">
        <v>2023</v>
      </c>
      <c r="D22" t="inlineStr">
        <is>
          <t>Medicaid</t>
        </is>
      </c>
      <c r="E22" t="inlineStr">
        <is>
          <t>Administrative</t>
        </is>
      </c>
      <c r="F22" t="inlineStr">
        <is>
          <t>Percentage of New Episodes of Other SUD with Engagement of SUD Treatment within 34 Days of Initiation: Ages 18 to 64</t>
        </is>
      </c>
      <c r="G22" t="inlineStr">
        <is>
          <t>Higher values are better</t>
        </is>
      </c>
      <c r="H22" t="inlineStr">
        <is>
          <t>Mathematica analysis of the Quality Measure Reporting (QMR) system reports for the 2023 Core Set as of May 16, 2024.</t>
        </is>
      </c>
      <c r="I22" t="inlineStr">
        <is>
          <t>State-specific comments: Rates include managed care population (26 MCOs). The state described the "other" data sources used to calculate the measure as the following: "Health Plan Billing Data." Rates were audited or validated.</t>
        </is>
      </c>
      <c r="J22" s="4" t="n">
        <v>0.163</v>
      </c>
      <c r="K22" s="4" t="n">
        <v>0.121</v>
      </c>
      <c r="L22" s="4" t="n">
        <v>0.28</v>
      </c>
      <c r="M22" s="4" t="n">
        <v>0.036</v>
      </c>
      <c r="N22" s="4" t="n">
        <v>0.09</v>
      </c>
      <c r="O22" s="4" t="n">
        <v>0.178</v>
      </c>
    </row>
    <row r="23">
      <c r="A23" t="inlineStr">
        <is>
          <t>Engagement</t>
        </is>
      </c>
      <c r="B23" t="inlineStr">
        <is>
          <t>Other Substance Use Disorder: Ages 18 to 64</t>
        </is>
      </c>
      <c r="C23" t="n">
        <v>2024</v>
      </c>
      <c r="D23" t="inlineStr">
        <is>
          <t>Medicaid (Title XIX)</t>
        </is>
      </c>
      <c r="E23" t="inlineStr">
        <is>
          <t>Administrative</t>
        </is>
      </c>
      <c r="F23" t="inlineStr">
        <is>
          <t>Percentage of New Episodes of Other SUD with Engagement of SUD Treatment within 34 Days of Initiation: Ages 18 to 64</t>
        </is>
      </c>
      <c r="G23" t="inlineStr">
        <is>
          <t>Higher values are better</t>
        </is>
      </c>
      <c r="H23" t="inlineStr">
        <is>
          <t>Mathematica analysis of the Quality Measure Reporting (QMR) system reports for the 2024 Core Set as of April 28, 2025.</t>
        </is>
      </c>
      <c r="I23" t="inlineStr">
        <is>
          <t>State-specific comments: Rates include FFS and managed care populations (56 MCOs). Rates were audited or validated.</t>
        </is>
      </c>
      <c r="J23" s="4" t="n">
        <v>0.16</v>
      </c>
      <c r="K23" s="4" t="n">
        <v>0.122</v>
      </c>
      <c r="L23" s="4" t="n">
        <v>0.418</v>
      </c>
      <c r="M23" s="4" t="n">
        <v>0.046</v>
      </c>
      <c r="N23" s="4" t="n">
        <v>0.08400000000000001</v>
      </c>
      <c r="O23" s="4" t="n">
        <v>0.18</v>
      </c>
    </row>
    <row r="24">
      <c r="A24" t="inlineStr">
        <is>
          <t>Engagement</t>
        </is>
      </c>
      <c r="B24" t="inlineStr">
        <is>
          <t>Total AOD Abuse or Dependence: Ages 18 to 64</t>
        </is>
      </c>
      <c r="C24" t="n">
        <v>2021</v>
      </c>
      <c r="D24" t="inlineStr">
        <is>
          <t>Medicaid &amp; Dual Eligibles</t>
        </is>
      </c>
      <c r="E24" t="inlineStr">
        <is>
          <t>Administrative</t>
        </is>
      </c>
      <c r="F24" t="inlineStr">
        <is>
          <t>Percentage with a New Episode of Alcohol or Other Drug Abuse or Dependence who Initiated and Engaged in Alcohol or Other Drug Treatment within 34 Days of the Initiation Visit: Ages 18 to 64</t>
        </is>
      </c>
      <c r="G24" t="inlineStr">
        <is>
          <t>Higher values are better</t>
        </is>
      </c>
      <c r="H24" t="inlineStr">
        <is>
          <t>Mathematica analysis of the Quality Measure Reporting (QMR) system reports for the FFY 2021 reporting cycle as of June 1, 2023.</t>
        </is>
      </c>
      <c r="I24" t="inlineStr">
        <is>
          <t>State-specific comments: Rates include managed care population (28 MCOs). The state described the "other" data sources used to calculate the measure as the following: "Health Plan Billing Data." Rates were audited or validated.</t>
        </is>
      </c>
      <c r="J24" s="4" t="n">
        <v>0.204</v>
      </c>
      <c r="K24" s="4" t="n">
        <v>0.164</v>
      </c>
      <c r="L24" s="4" t="n">
        <v>0.289</v>
      </c>
      <c r="M24" s="4" t="n">
        <v>0.052</v>
      </c>
      <c r="N24" s="4" t="n">
        <v>0.097</v>
      </c>
      <c r="O24" s="4" t="n">
        <v>0.188</v>
      </c>
    </row>
    <row r="25">
      <c r="A25" t="inlineStr">
        <is>
          <t>Engagement</t>
        </is>
      </c>
      <c r="B25" t="inlineStr">
        <is>
          <t>Total AOD Abuse or Dependence: Ages 18 to 64</t>
        </is>
      </c>
      <c r="C25" t="n">
        <v>2022</v>
      </c>
      <c r="D25" t="inlineStr">
        <is>
          <t>Medicaid &amp; Dual Eligibles</t>
        </is>
      </c>
      <c r="E25" t="inlineStr">
        <is>
          <t>Administrative</t>
        </is>
      </c>
      <c r="F25" t="inlineStr">
        <is>
          <t>Percentage with a New Episode of Alcohol or Other Drug Abuse or Dependence who Initiated and Engaged in Alcohol or Other Drug Treatment within 34 Days of the Initiation Visit: Ages 18 to 64</t>
        </is>
      </c>
      <c r="G25" t="inlineStr">
        <is>
          <t>Higher values are better</t>
        </is>
      </c>
      <c r="H25" t="inlineStr">
        <is>
          <t>Mathematica analysis of the Quality Measure Reporting (QMR) system reports for the FFY 2022 reporting cycle as of June 1, 2023.</t>
        </is>
      </c>
      <c r="I25" t="inlineStr">
        <is>
          <t>State-specific comments: Rates include managed care population (28 MCOs). The state described the "other" data sources used to calculate the measure as the following: "Health Plan Billing Data." Rates were audited or validated.</t>
        </is>
      </c>
      <c r="J25" s="4" t="n">
        <v>0.189</v>
      </c>
      <c r="K25" s="4" t="n">
        <v>0.158</v>
      </c>
      <c r="L25" s="4" t="n">
        <v>0.282</v>
      </c>
      <c r="M25" s="4" t="n">
        <v>0.049</v>
      </c>
      <c r="N25" s="4" t="n">
        <v>0.105</v>
      </c>
      <c r="O25" s="4" t="n">
        <v>0.185</v>
      </c>
    </row>
    <row r="26">
      <c r="A26" t="inlineStr">
        <is>
          <t>Engagement</t>
        </is>
      </c>
      <c r="B26" t="inlineStr">
        <is>
          <t>Total Substance Use Disorder: Ages 18 to 64</t>
        </is>
      </c>
      <c r="C26" t="n">
        <v>2023</v>
      </c>
      <c r="D26" t="inlineStr">
        <is>
          <t>Medicaid</t>
        </is>
      </c>
      <c r="E26" t="inlineStr">
        <is>
          <t>Administrative</t>
        </is>
      </c>
      <c r="F26" t="inlineStr">
        <is>
          <t>Percentage of New Episodes of Total SUD with Engagement of SUD Treatment within 34 Days of Initiation: Ages 18 to 64</t>
        </is>
      </c>
      <c r="G26" t="inlineStr">
        <is>
          <t>Higher values are better</t>
        </is>
      </c>
      <c r="H26" t="inlineStr">
        <is>
          <t>Mathematica analysis of the Quality Measure Reporting (QMR) system reports for the 2023 Core Set as of May 16, 2024.</t>
        </is>
      </c>
      <c r="I26" t="inlineStr">
        <is>
          <t>State-specific comments: Rates include managed care population (26 MCOs). The state described the "other" data sources used to calculate the measure as the following: "Health Plan Billing Data." Rates were audited or validated.</t>
        </is>
      </c>
      <c r="J26" s="4" t="n">
        <v>0.188</v>
      </c>
      <c r="K26" s="4" t="n">
        <v>0.155</v>
      </c>
      <c r="L26" s="4" t="n">
        <v>0.327</v>
      </c>
      <c r="M26" s="4" t="n">
        <v>0.039</v>
      </c>
      <c r="N26" s="4" t="n">
        <v>0.115</v>
      </c>
      <c r="O26" s="4" t="n">
        <v>0.221</v>
      </c>
    </row>
    <row r="27">
      <c r="A27" t="inlineStr">
        <is>
          <t>Engagement</t>
        </is>
      </c>
      <c r="B27" t="inlineStr">
        <is>
          <t>Total Substance Use Disorder: Ages 18 to 64</t>
        </is>
      </c>
      <c r="C27" t="n">
        <v>2024</v>
      </c>
      <c r="D27" t="inlineStr">
        <is>
          <t>Medicaid (Title XIX)</t>
        </is>
      </c>
      <c r="E27" t="inlineStr">
        <is>
          <t>Administrative</t>
        </is>
      </c>
      <c r="F27" t="inlineStr">
        <is>
          <t>Percentage of New Episodes of Total SUD with Engagement of SUD Treatment within 34 Days of Initiation: Ages 18 to 64</t>
        </is>
      </c>
      <c r="G27" t="inlineStr">
        <is>
          <t>Higher values are better</t>
        </is>
      </c>
      <c r="H27" t="inlineStr">
        <is>
          <t>Mathematica analysis of the Quality Measure Reporting (QMR) system reports for the 2024 Core Set as of April 28, 2025.</t>
        </is>
      </c>
      <c r="I27" t="inlineStr">
        <is>
          <t>State-specific comments: Rates include FFS and managed care populations (56 MCOs). Rates were audited or validated.</t>
        </is>
      </c>
      <c r="J27" s="4" t="n">
        <v>0.172</v>
      </c>
      <c r="K27" s="4" t="n">
        <v>0.157</v>
      </c>
      <c r="L27" s="4" t="n">
        <v>0.353</v>
      </c>
      <c r="M27" s="4" t="n">
        <v>0.05</v>
      </c>
      <c r="N27" s="4" t="n">
        <v>0.113</v>
      </c>
      <c r="O27" s="4" t="n">
        <v>0.235</v>
      </c>
    </row>
    <row r="28">
      <c r="A28" t="inlineStr">
        <is>
          <t>Initiation</t>
        </is>
      </c>
      <c r="B28" t="inlineStr">
        <is>
          <t>Alcohol Abuse or Dependence: Ages 18 to 64</t>
        </is>
      </c>
      <c r="C28" t="n">
        <v>2021</v>
      </c>
      <c r="D28" t="inlineStr">
        <is>
          <t>Medicaid &amp; Dual Eligibles</t>
        </is>
      </c>
      <c r="E28" t="inlineStr">
        <is>
          <t>Administrative</t>
        </is>
      </c>
      <c r="F28" t="inlineStr">
        <is>
          <t>Percentage with a New Episode of Alcohol Abuse or Dependence who Initiated Alcohol or Other Drug Treatment within 14 Days of the Diagnosis: Ages 18 to 64</t>
        </is>
      </c>
      <c r="G28" t="inlineStr">
        <is>
          <t>Higher values are better</t>
        </is>
      </c>
      <c r="H28" t="inlineStr">
        <is>
          <t>Mathematica analysis of the Quality Measure Reporting (QMR) system reports for the FFY 2021 reporting cycle as of June 1, 2023.</t>
        </is>
      </c>
      <c r="I28" t="inlineStr">
        <is>
          <t>State-specific comments: Rates include managed care population (28 MCOs). The state described the "other" data sources used to calculate the measure as the following: "Health Plan Billing Data." Rates were audited or validated.</t>
        </is>
      </c>
      <c r="J28" s="4" t="n">
        <v>0.48</v>
      </c>
      <c r="K28" s="4" t="n">
        <v>0.42</v>
      </c>
      <c r="L28" s="4" t="n">
        <v>0.503</v>
      </c>
      <c r="M28" s="4" t="n">
        <v>0.33</v>
      </c>
      <c r="N28" s="4" t="n">
        <v>0.382</v>
      </c>
      <c r="O28" s="4" t="n">
        <v>0.455</v>
      </c>
    </row>
    <row r="29">
      <c r="A29" t="inlineStr">
        <is>
          <t>Initiation</t>
        </is>
      </c>
      <c r="B29" t="inlineStr">
        <is>
          <t>Alcohol Abuse or Dependence: Ages 18 to 64</t>
        </is>
      </c>
      <c r="C29" t="n">
        <v>2022</v>
      </c>
      <c r="D29" t="inlineStr">
        <is>
          <t>Medicaid &amp; Dual Eligibles</t>
        </is>
      </c>
      <c r="E29" t="inlineStr">
        <is>
          <t>Administrative</t>
        </is>
      </c>
      <c r="F29" t="inlineStr">
        <is>
          <t>Percentage with a New Episode of Alcohol Abuse or Dependence who Initiated Alcohol or Other Drug Treatment within 14 Days of the Diagnosis: Ages 18 to 64</t>
        </is>
      </c>
      <c r="G29" t="inlineStr">
        <is>
          <t>Higher values are better</t>
        </is>
      </c>
      <c r="H29" t="inlineStr">
        <is>
          <t>Mathematica analysis of the Quality Measure Reporting (QMR) system reports for the FFY 2022 reporting cycle as of June 1, 2023.</t>
        </is>
      </c>
      <c r="I29" t="inlineStr">
        <is>
          <t>State-specific comments: Rates include managed care population (28 MCOs). The state described the "other" data sources used to calculate the measure as the following: "Health Plan Billing Data." Rates were audited or validated.</t>
        </is>
      </c>
      <c r="J29" s="4" t="n">
        <v>0.472</v>
      </c>
      <c r="K29" s="4" t="n">
        <v>0.421</v>
      </c>
      <c r="L29" s="4" t="n">
        <v>0.5659999999999999</v>
      </c>
      <c r="M29" s="4" t="n">
        <v>0.277</v>
      </c>
      <c r="N29" s="4" t="n">
        <v>0.392</v>
      </c>
      <c r="O29" s="4" t="n">
        <v>0.455</v>
      </c>
    </row>
    <row r="30">
      <c r="A30" t="inlineStr">
        <is>
          <t>Initiation</t>
        </is>
      </c>
      <c r="B30" t="inlineStr">
        <is>
          <t>Alcohol Use Disorder: Ages 18 to 64</t>
        </is>
      </c>
      <c r="C30" t="n">
        <v>2023</v>
      </c>
      <c r="D30" t="inlineStr">
        <is>
          <t>Medicaid</t>
        </is>
      </c>
      <c r="E30" t="inlineStr">
        <is>
          <t>Administrative</t>
        </is>
      </c>
      <c r="F30" t="inlineStr">
        <is>
          <t>Percentage of New Episodes of Alcohol Use Disorder with Initiation of SUD Treatment within 14 Days: Ages 18 to 64</t>
        </is>
      </c>
      <c r="G30" t="inlineStr">
        <is>
          <t>Higher values are better</t>
        </is>
      </c>
      <c r="H30" t="inlineStr">
        <is>
          <t>Mathematica analysis of the Quality Measure Reporting (QMR) system reports for the 2023 Core Set as of May 16, 2024.</t>
        </is>
      </c>
      <c r="I30" t="inlineStr">
        <is>
          <t>State-specific comments: Rates include managed care population (26 MCOs). The state described the "other" data sources used to calculate the measure as the following: "Health Plan Billing Data." Rates were audited or validated.</t>
        </is>
      </c>
      <c r="J30" s="4" t="n">
        <v>0.45</v>
      </c>
      <c r="K30" s="4" t="n">
        <v>0.413</v>
      </c>
      <c r="L30" s="4" t="n">
        <v>0.668</v>
      </c>
      <c r="M30" s="4" t="n">
        <v>0.196</v>
      </c>
      <c r="N30" s="4" t="n">
        <v>0.383</v>
      </c>
      <c r="O30" s="4" t="n">
        <v>0.451</v>
      </c>
    </row>
    <row r="31">
      <c r="A31" t="inlineStr">
        <is>
          <t>Initiation</t>
        </is>
      </c>
      <c r="B31" t="inlineStr">
        <is>
          <t>Alcohol Use Disorder: Ages 18 to 64</t>
        </is>
      </c>
      <c r="C31" t="n">
        <v>2024</v>
      </c>
      <c r="D31" t="inlineStr">
        <is>
          <t>Medicaid (Title XIX)</t>
        </is>
      </c>
      <c r="E31" t="inlineStr">
        <is>
          <t>Administrative</t>
        </is>
      </c>
      <c r="F31" t="inlineStr">
        <is>
          <t>Percentage of New Episodes of Alcohol Use Disorder with Initiation of SUD Treatment within 14 Days: Ages 18 to 64</t>
        </is>
      </c>
      <c r="G31" t="inlineStr">
        <is>
          <t>Higher values are better</t>
        </is>
      </c>
      <c r="H31" t="inlineStr">
        <is>
          <t>Mathematica analysis of the Quality Measure Reporting (QMR) system reports for the 2024 Core Set as of April 28, 2025.</t>
        </is>
      </c>
      <c r="I31" t="inlineStr">
        <is>
          <t>State-specific comments: Rates include FFS and managed care populations (56 MCOs). Rates were audited or validated.</t>
        </is>
      </c>
      <c r="J31" s="4" t="n">
        <v>0.421</v>
      </c>
      <c r="K31" s="4" t="n">
        <v>0.418</v>
      </c>
      <c r="L31" s="4" t="n">
        <v>0.786</v>
      </c>
      <c r="M31" s="4" t="n">
        <v>0.219</v>
      </c>
      <c r="N31" s="4" t="n">
        <v>0.385</v>
      </c>
      <c r="O31" s="4" t="n">
        <v>0.448</v>
      </c>
    </row>
    <row r="32">
      <c r="A32" t="inlineStr">
        <is>
          <t>Initiation</t>
        </is>
      </c>
      <c r="B32" t="inlineStr">
        <is>
          <t>Opioid Abuse or Dependence: Ages 18 to 64</t>
        </is>
      </c>
      <c r="C32" t="n">
        <v>2021</v>
      </c>
      <c r="D32" t="inlineStr">
        <is>
          <t>Medicaid &amp; Dual Eligibles</t>
        </is>
      </c>
      <c r="E32" t="inlineStr">
        <is>
          <t>Administrative</t>
        </is>
      </c>
      <c r="F32" t="inlineStr">
        <is>
          <t>Percentage with a New Episode of Opioid Abuse or Dependence who Initiated Alcohol or Other Drug Treatment within 14 Days of the Diagnosis: Ages 18 to 64</t>
        </is>
      </c>
      <c r="G32" t="inlineStr">
        <is>
          <t>Higher values are better</t>
        </is>
      </c>
      <c r="H32" t="inlineStr">
        <is>
          <t>Mathematica analysis of the Quality Measure Reporting (QMR) system reports for the FFY 2021 reporting cycle as of June 1, 2023.</t>
        </is>
      </c>
      <c r="I32" t="inlineStr">
        <is>
          <t>State-specific comments: Rates include managed care population (28 MCOs). The state described the "other" data sources used to calculate the measure as the following: "Health Plan Billing Data." Rates were audited or validated.</t>
        </is>
      </c>
      <c r="J32" s="4" t="n">
        <v>0.664</v>
      </c>
      <c r="K32" s="4" t="n">
        <v>0.5600000000000001</v>
      </c>
      <c r="L32" s="4" t="n">
        <v>0.749</v>
      </c>
      <c r="M32" s="4" t="n">
        <v>0.312</v>
      </c>
      <c r="N32" s="4" t="n">
        <v>0.463</v>
      </c>
      <c r="O32" s="4" t="n">
        <v>0.652</v>
      </c>
    </row>
    <row r="33">
      <c r="A33" t="inlineStr">
        <is>
          <t>Initiation</t>
        </is>
      </c>
      <c r="B33" t="inlineStr">
        <is>
          <t>Opioid Abuse or Dependence: Ages 18 to 64</t>
        </is>
      </c>
      <c r="C33" t="n">
        <v>2022</v>
      </c>
      <c r="D33" t="inlineStr">
        <is>
          <t>Medicaid &amp; Dual Eligibles</t>
        </is>
      </c>
      <c r="E33" t="inlineStr">
        <is>
          <t>Administrative</t>
        </is>
      </c>
      <c r="F33" t="inlineStr">
        <is>
          <t>Percentage with a New Episode of Opioid Abuse or Dependence who Initiated Alcohol or Other Drug Treatment within 14 Days of the Diagnosis: Ages 18 to 64</t>
        </is>
      </c>
      <c r="G33" t="inlineStr">
        <is>
          <t>Higher values are better</t>
        </is>
      </c>
      <c r="H33" t="inlineStr">
        <is>
          <t>Mathematica analysis of the Quality Measure Reporting (QMR) system reports for the FFY 2022 reporting cycle as of June 1, 2023.</t>
        </is>
      </c>
      <c r="I33" t="inlineStr">
        <is>
          <t>State-specific comments: Rates include managed care population (28 MCOs). The state described the "other" data sources used to calculate the measure as the following: "Health Plan Billing Data." Rates were audited or validated.</t>
        </is>
      </c>
      <c r="J33" s="4" t="n">
        <v>0.654</v>
      </c>
      <c r="K33" s="4" t="n">
        <v>0.5659999999999999</v>
      </c>
      <c r="L33" s="4" t="n">
        <v>0.717</v>
      </c>
      <c r="M33" s="4" t="n">
        <v>0.299</v>
      </c>
      <c r="N33" s="4" t="n">
        <v>0.501</v>
      </c>
      <c r="O33" s="4" t="n">
        <v>0.646</v>
      </c>
    </row>
    <row r="34">
      <c r="A34" t="inlineStr">
        <is>
          <t>Initiation</t>
        </is>
      </c>
      <c r="B34" t="inlineStr">
        <is>
          <t>Opioid Use Disorder: Ages 18 to 64</t>
        </is>
      </c>
      <c r="C34" t="n">
        <v>2023</v>
      </c>
      <c r="D34" t="inlineStr">
        <is>
          <t>Medicaid</t>
        </is>
      </c>
      <c r="E34" t="inlineStr">
        <is>
          <t>Administrative</t>
        </is>
      </c>
      <c r="F34" t="inlineStr">
        <is>
          <t>Percentage of New Episodes of Opioid Use Disorder with Initiation of SUD Treatment within 14 Days: Ages 18 to 64</t>
        </is>
      </c>
      <c r="G34" t="inlineStr">
        <is>
          <t>Higher values are better</t>
        </is>
      </c>
      <c r="H34" t="inlineStr">
        <is>
          <t>Mathematica analysis of the Quality Measure Reporting (QMR) system reports for the 2023 Core Set as of May 16, 2024.</t>
        </is>
      </c>
      <c r="I34" t="inlineStr">
        <is>
          <t>State-specific comments: Rates include managed care population (26 MCOs). The state described the "other" data sources used to calculate the measure as the following: "Health Plan Billing Data." Rates were audited or validated.</t>
        </is>
      </c>
      <c r="J34" s="4" t="n">
        <v>0.676</v>
      </c>
      <c r="K34" s="4" t="n">
        <v>0.609</v>
      </c>
      <c r="L34" s="4" t="n">
        <v>0.731</v>
      </c>
      <c r="M34" s="4" t="n">
        <v>0.224</v>
      </c>
      <c r="N34" s="4" t="n">
        <v>0.499</v>
      </c>
      <c r="O34" s="4" t="n">
        <v>0.674</v>
      </c>
    </row>
    <row r="35">
      <c r="A35" t="inlineStr">
        <is>
          <t>Initiation</t>
        </is>
      </c>
      <c r="B35" t="inlineStr">
        <is>
          <t>Opioid Use Disorder: Ages 18 to 64</t>
        </is>
      </c>
      <c r="C35" t="n">
        <v>2024</v>
      </c>
      <c r="D35" t="inlineStr">
        <is>
          <t>Medicaid (Title XIX)</t>
        </is>
      </c>
      <c r="E35" t="inlineStr">
        <is>
          <t>Administrative</t>
        </is>
      </c>
      <c r="F35" t="inlineStr">
        <is>
          <t>Percentage of New Episodes of Opioid Use Disorder with Initiation of SUD Treatment within 14 Days: Ages 18 to 64</t>
        </is>
      </c>
      <c r="G35" t="inlineStr">
        <is>
          <t>Higher values are better</t>
        </is>
      </c>
      <c r="H35" t="inlineStr">
        <is>
          <t>Mathematica analysis of the Quality Measure Reporting (QMR) system reports for the 2024 Core Set as of April 28, 2025.</t>
        </is>
      </c>
      <c r="I35" t="inlineStr">
        <is>
          <t>State-specific comments: Rates include FFS and managed care populations (56 MCOs). Rates were audited or validated.</t>
        </is>
      </c>
      <c r="J35" s="4" t="n">
        <v>0.607</v>
      </c>
      <c r="K35" s="4" t="n">
        <v>0.599</v>
      </c>
      <c r="L35" s="4" t="n">
        <v>0.921</v>
      </c>
      <c r="M35" s="4" t="n">
        <v>0.348</v>
      </c>
      <c r="N35" s="4" t="n">
        <v>0.516</v>
      </c>
      <c r="O35" s="4" t="n">
        <v>0.651</v>
      </c>
    </row>
    <row r="36">
      <c r="A36" t="inlineStr">
        <is>
          <t>Initiation</t>
        </is>
      </c>
      <c r="B36" t="inlineStr">
        <is>
          <t>Other Drug Abuse or Dependence: Ages 18 to 64</t>
        </is>
      </c>
      <c r="C36" t="n">
        <v>2021</v>
      </c>
      <c r="D36" t="inlineStr">
        <is>
          <t>Medicaid &amp; Dual Eligibles</t>
        </is>
      </c>
      <c r="E36" t="inlineStr">
        <is>
          <t>Administrative</t>
        </is>
      </c>
      <c r="F36" t="inlineStr">
        <is>
          <t>Percentage with a New Episode of Other Drug Abuse or Dependence who Initiated Alcohol or Other Drug Treatment within 14 Days of the Diagnosis: Ages 18 to 64</t>
        </is>
      </c>
      <c r="G36" t="inlineStr">
        <is>
          <t>Higher values are better</t>
        </is>
      </c>
      <c r="H36" t="inlineStr">
        <is>
          <t>Mathematica analysis of the Quality Measure Reporting (QMR) system reports for the FFY 2021 reporting cycle as of June 1, 2023.</t>
        </is>
      </c>
      <c r="I36" t="inlineStr">
        <is>
          <t>State-specific comments: Rates include managed care population (28 MCOs). The state described the "other" data sources used to calculate the measure as the following: "Health Plan Billing Data." Rates were audited or validated.</t>
        </is>
      </c>
      <c r="J36" s="4" t="n">
        <v>0.521</v>
      </c>
      <c r="K36" s="4" t="n">
        <v>0.411</v>
      </c>
      <c r="L36" s="4" t="n">
        <v>0.521</v>
      </c>
      <c r="M36" s="4" t="n">
        <v>0.311</v>
      </c>
      <c r="N36" s="4" t="n">
        <v>0.373</v>
      </c>
      <c r="O36" s="4" t="n">
        <v>0.446</v>
      </c>
    </row>
    <row r="37">
      <c r="A37" t="inlineStr">
        <is>
          <t>Initiation</t>
        </is>
      </c>
      <c r="B37" t="inlineStr">
        <is>
          <t>Other Drug Abuse or Dependence: Ages 18 to 64</t>
        </is>
      </c>
      <c r="C37" t="n">
        <v>2022</v>
      </c>
      <c r="D37" t="inlineStr">
        <is>
          <t>Medicaid &amp; Dual Eligibles</t>
        </is>
      </c>
      <c r="E37" t="inlineStr">
        <is>
          <t>Administrative</t>
        </is>
      </c>
      <c r="F37" t="inlineStr">
        <is>
          <t>Percentage with a New Episode of Other Drug Abuse or Dependence who Initiated Alcohol or Other Drug Treatment within 14 Days of the Diagnosis: Ages 18 to 64</t>
        </is>
      </c>
      <c r="G37" t="inlineStr">
        <is>
          <t>Higher values are better</t>
        </is>
      </c>
      <c r="H37" t="inlineStr">
        <is>
          <t>Mathematica analysis of the Quality Measure Reporting (QMR) system reports for the FFY 2022 reporting cycle as of June 1, 2023.</t>
        </is>
      </c>
      <c r="I37" t="inlineStr">
        <is>
          <t>State-specific comments: Rates include managed care population (28 MCOs). The state described the "other" data sources used to calculate the measure as the following: "Health Plan Billing Data." Rates were audited or validated.</t>
        </is>
      </c>
      <c r="J37" s="4" t="n">
        <v>0.502</v>
      </c>
      <c r="K37" s="4" t="n">
        <v>0.413</v>
      </c>
      <c r="L37" s="4" t="n">
        <v>0.504</v>
      </c>
      <c r="M37" s="4" t="n">
        <v>0.272</v>
      </c>
      <c r="N37" s="4" t="n">
        <v>0.369</v>
      </c>
      <c r="O37" s="4" t="n">
        <v>0.448</v>
      </c>
    </row>
    <row r="38">
      <c r="A38" t="inlineStr">
        <is>
          <t>Initiation</t>
        </is>
      </c>
      <c r="B38" t="inlineStr">
        <is>
          <t>Other Substance Use Disorder: Ages 18 to 64</t>
        </is>
      </c>
      <c r="C38" t="n">
        <v>2023</v>
      </c>
      <c r="D38" t="inlineStr">
        <is>
          <t>Medicaid</t>
        </is>
      </c>
      <c r="E38" t="inlineStr">
        <is>
          <t>Administrative</t>
        </is>
      </c>
      <c r="F38" t="inlineStr">
        <is>
          <t>Percentage of New Episodes of Other SUD with Initiation of SUD Treatment within 14 Days: Ages 18 to 64</t>
        </is>
      </c>
      <c r="G38" t="inlineStr">
        <is>
          <t>Higher values are better</t>
        </is>
      </c>
      <c r="H38" t="inlineStr">
        <is>
          <t>Mathematica analysis of the Quality Measure Reporting (QMR) system reports for the 2023 Core Set as of May 16, 2024.</t>
        </is>
      </c>
      <c r="I38" t="inlineStr">
        <is>
          <t>State-specific comments: Rates include managed care population (26 MCOs). The state described the "other" data sources used to calculate the measure as the following: "Health Plan Billing Data." Rates were audited or validated.</t>
        </is>
      </c>
      <c r="J38" s="4" t="n">
        <v>0.486</v>
      </c>
      <c r="K38" s="4" t="n">
        <v>0.416</v>
      </c>
      <c r="L38" s="4" t="n">
        <v>0.714</v>
      </c>
      <c r="M38" s="4" t="n">
        <v>0.09</v>
      </c>
      <c r="N38" s="4" t="n">
        <v>0.38</v>
      </c>
      <c r="O38" s="4" t="n">
        <v>0.467</v>
      </c>
    </row>
    <row r="39">
      <c r="A39" t="inlineStr">
        <is>
          <t>Initiation</t>
        </is>
      </c>
      <c r="B39" t="inlineStr">
        <is>
          <t>Other Substance Use Disorder: Ages 18 to 64</t>
        </is>
      </c>
      <c r="C39" t="n">
        <v>2024</v>
      </c>
      <c r="D39" t="inlineStr">
        <is>
          <t>Medicaid (Title XIX)</t>
        </is>
      </c>
      <c r="E39" t="inlineStr">
        <is>
          <t>Administrative</t>
        </is>
      </c>
      <c r="F39" t="inlineStr">
        <is>
          <t>Percentage of New Episodes of Other SUD with Initiation of SUD Treatment within 14 Days: Ages 18 to 64</t>
        </is>
      </c>
      <c r="G39" t="inlineStr">
        <is>
          <t>Higher values are better</t>
        </is>
      </c>
      <c r="H39" t="inlineStr">
        <is>
          <t>Mathematica analysis of the Quality Measure Reporting (QMR) system reports for the 2024 Core Set as of April 28, 2025.</t>
        </is>
      </c>
      <c r="I39" t="inlineStr">
        <is>
          <t>State-specific comments: Rates include FFS and managed care populations (56 MCOs). Rates were audited or validated.</t>
        </is>
      </c>
      <c r="J39" s="4" t="n">
        <v>0.442</v>
      </c>
      <c r="K39" s="4" t="n">
        <v>0.416</v>
      </c>
      <c r="L39" s="4" t="n">
        <v>0.843</v>
      </c>
      <c r="M39" s="4" t="n">
        <v>0.246</v>
      </c>
      <c r="N39" s="4" t="n">
        <v>0.365</v>
      </c>
      <c r="O39" s="4" t="n">
        <v>0.466</v>
      </c>
    </row>
    <row r="40">
      <c r="A40" t="inlineStr">
        <is>
          <t>Initiation</t>
        </is>
      </c>
      <c r="B40" t="inlineStr">
        <is>
          <t>Total AOD Abuse or Dependence: Ages 18 to 64</t>
        </is>
      </c>
      <c r="C40" t="n">
        <v>2021</v>
      </c>
      <c r="D40" t="inlineStr">
        <is>
          <t>Medicaid &amp; Dual Eligibles</t>
        </is>
      </c>
      <c r="E40" t="inlineStr">
        <is>
          <t>Administrative</t>
        </is>
      </c>
      <c r="F40" t="inlineStr">
        <is>
          <t>Percentage with a New Episode of Alcohol or Other Drug Abuse or Dependence who Initiated Alcohol or Other Drug Treatment within 14 Days of the Diagnosis: Ages 18 to 64</t>
        </is>
      </c>
      <c r="G40" t="inlineStr">
        <is>
          <t>Higher values are better</t>
        </is>
      </c>
      <c r="H40" t="inlineStr">
        <is>
          <t>Mathematica analysis of the Quality Measure Reporting (QMR) system reports for the FFY 2021 reporting cycle as of June 1, 2023.</t>
        </is>
      </c>
      <c r="I40" t="inlineStr">
        <is>
          <t>State-specific comments: Rates include managed care population (28 MCOs). The state described the "other" data sources used to calculate the measure as the following: "Health Plan Billing Data." Rates were audited or validated.</t>
        </is>
      </c>
      <c r="J40" s="4" t="n">
        <v>0.506</v>
      </c>
      <c r="K40" s="4" t="n">
        <v>0.425</v>
      </c>
      <c r="L40" s="4" t="n">
        <v>0.546</v>
      </c>
      <c r="M40" s="4" t="n">
        <v>0.315</v>
      </c>
      <c r="N40" s="4" t="n">
        <v>0.393</v>
      </c>
      <c r="O40" s="4" t="n">
        <v>0.481</v>
      </c>
    </row>
    <row r="41">
      <c r="A41" t="inlineStr">
        <is>
          <t>Initiation</t>
        </is>
      </c>
      <c r="B41" t="inlineStr">
        <is>
          <t>Total AOD Abuse or Dependence: Ages 18 to 64</t>
        </is>
      </c>
      <c r="C41" t="n">
        <v>2022</v>
      </c>
      <c r="D41" t="inlineStr">
        <is>
          <t>Medicaid &amp; Dual Eligibles</t>
        </is>
      </c>
      <c r="E41" t="inlineStr">
        <is>
          <t>Administrative</t>
        </is>
      </c>
      <c r="F41" t="inlineStr">
        <is>
          <t>Percentage with a New Episode of Alcohol or Other Drug Abuse or Dependence who Initiated Alcohol or Other Drug Treatment within 14 Days of the Diagnosis: Ages 18 to 64</t>
        </is>
      </c>
      <c r="G41" t="inlineStr">
        <is>
          <t>Higher values are better</t>
        </is>
      </c>
      <c r="H41" t="inlineStr">
        <is>
          <t>Mathematica analysis of the Quality Measure Reporting (QMR) system reports for the FFY 2022 reporting cycle as of June 1, 2023.</t>
        </is>
      </c>
      <c r="I41" t="inlineStr">
        <is>
          <t>State-specific comments: Rates include managed care population (28 MCOs). The state described the "other" data sources used to calculate the measure as the following: "Health Plan Billing Data." Rates were audited or validated.</t>
        </is>
      </c>
      <c r="J41" s="4" t="n">
        <v>0.491</v>
      </c>
      <c r="K41" s="4" t="n">
        <v>0.434</v>
      </c>
      <c r="L41" s="4" t="n">
        <v>0.538</v>
      </c>
      <c r="M41" s="4" t="n">
        <v>0.274</v>
      </c>
      <c r="N41" s="4" t="n">
        <v>0.41</v>
      </c>
      <c r="O41" s="4" t="n">
        <v>0.477</v>
      </c>
    </row>
    <row r="42">
      <c r="A42" t="inlineStr">
        <is>
          <t>Initiation</t>
        </is>
      </c>
      <c r="B42" t="inlineStr">
        <is>
          <t>Total Substance Use Disorder: Ages 18 to 64</t>
        </is>
      </c>
      <c r="C42" t="n">
        <v>2023</v>
      </c>
      <c r="D42" t="inlineStr">
        <is>
          <t>Medicaid</t>
        </is>
      </c>
      <c r="E42" t="inlineStr">
        <is>
          <t>Administrative</t>
        </is>
      </c>
      <c r="F42" t="inlineStr">
        <is>
          <t>Percentage of New Episodes of Total SUD with Initiation of SUD Treatment within 14 Days: Ages 18 to 64</t>
        </is>
      </c>
      <c r="G42" t="inlineStr">
        <is>
          <t>Higher values are better</t>
        </is>
      </c>
      <c r="H42" t="inlineStr">
        <is>
          <t>Mathematica analysis of the Quality Measure Reporting (QMR) system reports for the 2023 Core Set as of May 16, 2024.</t>
        </is>
      </c>
      <c r="I42" t="inlineStr">
        <is>
          <t>State-specific comments: Rates include managed care population (26 MCOs). The state described the "other" data sources used to calculate the measure as the following: "Health Plan Billing Data." Rates were audited or validated.</t>
        </is>
      </c>
      <c r="J42" s="4" t="n">
        <v>0.495</v>
      </c>
      <c r="K42" s="4" t="n">
        <v>0.445</v>
      </c>
      <c r="L42" s="4" t="n">
        <v>0.6879999999999999</v>
      </c>
      <c r="M42" s="4" t="n">
        <v>0.198</v>
      </c>
      <c r="N42" s="4" t="n">
        <v>0.405</v>
      </c>
      <c r="O42" s="4" t="n">
        <v>0.508</v>
      </c>
    </row>
    <row r="43">
      <c r="A43" t="inlineStr">
        <is>
          <t>Initiation</t>
        </is>
      </c>
      <c r="B43" t="inlineStr">
        <is>
          <t>Total Substance Use Disorder: Ages 18 to 64</t>
        </is>
      </c>
      <c r="C43" t="n">
        <v>2024</v>
      </c>
      <c r="D43" t="inlineStr">
        <is>
          <t>Medicaid (Title XIX)</t>
        </is>
      </c>
      <c r="E43" t="inlineStr">
        <is>
          <t>Administrative</t>
        </is>
      </c>
      <c r="F43" t="inlineStr">
        <is>
          <t>Percentage of New Episodes of Total SUD with Initiation of SUD Treatment within 14 Days: Ages 18 to 64</t>
        </is>
      </c>
      <c r="G43" t="inlineStr">
        <is>
          <t>Higher values are better</t>
        </is>
      </c>
      <c r="H43" t="inlineStr">
        <is>
          <t>Mathematica analysis of the Quality Measure Reporting (QMR) system reports for the 2024 Core Set as of April 28, 2025.</t>
        </is>
      </c>
      <c r="I43" t="inlineStr">
        <is>
          <t>State-specific comments: Rates include FFS and managed care populations (56 MCOs). Rates were audited or validated.</t>
        </is>
      </c>
      <c r="J43" s="4" t="n">
        <v>0.456</v>
      </c>
      <c r="K43" s="4" t="n">
        <v>0.442</v>
      </c>
      <c r="L43" s="4" t="n">
        <v>0.823</v>
      </c>
      <c r="M43" s="4" t="n">
        <v>0.245</v>
      </c>
      <c r="N43" s="4" t="n">
        <v>0.399</v>
      </c>
      <c r="O43" s="4" t="n">
        <v>0.506</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49" customWidth="1" min="2" max="2"/>
    <col width="25"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Lead Screening in Children: Age 2 (LSC-CH)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2023</v>
      </c>
      <c r="B4" t="inlineStr">
        <is>
          <t>Medicaid &amp; CHIP</t>
        </is>
      </c>
      <c r="C4" t="inlineStr">
        <is>
          <t>Hybrid</t>
        </is>
      </c>
      <c r="D4" t="inlineStr">
        <is>
          <t>Percentage who had One or More Capillary or Venous Lead Blood Test for Lead Poisoning by their Second Birthday</t>
        </is>
      </c>
      <c r="E4" t="inlineStr">
        <is>
          <t>Higher values are better</t>
        </is>
      </c>
      <c r="F4" t="inlineStr">
        <is>
          <t>Mathematica analysis of the Quality Measure Reporting (QMR) system reports for the 2023 Core Set as of May 16, 2024.</t>
        </is>
      </c>
      <c r="G4" t="inlineStr">
        <is>
          <t>State-specific comments: Rate includes managed care population (15 MCOs). The state described the "other" data sources used to calculate the measure as the following: "Health Plan Billing Data." Denominator is the sample size; measure-eligible population is 110,041. Rate was audited or validated.</t>
        </is>
      </c>
      <c r="H4" s="4" t="n">
        <v>0.8070000000000001</v>
      </c>
      <c r="I4" s="4" t="n">
        <v>0.57</v>
      </c>
      <c r="J4" s="4" t="n">
        <v>0.8159999999999999</v>
      </c>
      <c r="K4" s="4" t="n">
        <v>0.169</v>
      </c>
      <c r="L4" s="4" t="n">
        <v>0.396</v>
      </c>
      <c r="M4" s="4" t="n">
        <v>0.68</v>
      </c>
    </row>
    <row r="5">
      <c r="A5" t="n">
        <v>2024</v>
      </c>
      <c r="B5" t="inlineStr">
        <is>
          <t>Medicaid (Title XIX), Separate CHIP (Title XXI)</t>
        </is>
      </c>
      <c r="C5" t="inlineStr">
        <is>
          <t>Administrative &amp; Hybrid</t>
        </is>
      </c>
      <c r="D5" t="inlineStr">
        <is>
          <t>Percentage who had One or More Capillary or Venous Lead Blood Test for Lead Poisoning by their Second Birthday</t>
        </is>
      </c>
      <c r="E5" t="inlineStr">
        <is>
          <t>Higher values are better</t>
        </is>
      </c>
      <c r="F5" t="inlineStr">
        <is>
          <t>Mathematica analysis of the Quality Measure Reporting (QMR) system reports for the 2024 Core Set as of April 28, 2025.</t>
        </is>
      </c>
      <c r="G5" t="inlineStr">
        <is>
          <t>State-specific comments: Rate combines the Medicaid and separate CHIP data reported by the state in the QMR system. See Medicaid and separate CHIP state-specific comments for information about the data reported for each population.</t>
        </is>
      </c>
      <c r="H5" s="4" t="n">
        <v>0.764</v>
      </c>
      <c r="I5" s="4" t="n">
        <v>0.581</v>
      </c>
      <c r="J5" s="4" t="n">
        <v>0.791</v>
      </c>
      <c r="K5" s="4" t="n">
        <v>0.158</v>
      </c>
      <c r="L5" s="4" t="n">
        <v>0.348</v>
      </c>
      <c r="M5" s="4" t="n">
        <v>0.6830000000000001</v>
      </c>
    </row>
    <row r="6">
      <c r="A6" t="n">
        <v>2024</v>
      </c>
      <c r="B6" t="inlineStr">
        <is>
          <t>Medicaid (Title XIX)</t>
        </is>
      </c>
      <c r="C6" t="inlineStr">
        <is>
          <t>Administrative &amp; Hybrid</t>
        </is>
      </c>
      <c r="D6" t="inlineStr">
        <is>
          <t>Percentage who had One or More Capillary or Venous Lead Blood Test for Lead Poisoning by their Second Birthday</t>
        </is>
      </c>
      <c r="E6" t="inlineStr">
        <is>
          <t>Higher values are better</t>
        </is>
      </c>
      <c r="F6" t="inlineStr">
        <is>
          <t>Mathematica analysis of the Quality Measure Reporting (QMR) system reports for the 2024 Core Set as of April 28, 2025.</t>
        </is>
      </c>
      <c r="G6" t="inlineStr">
        <is>
          <t>State-specific comments: Medicaid rate includes FFS and managed care populations (15 MCOs). The state described the "other" data sources used to calculate the measure as the following: "Health Plan Billing Data." Rate was derived using both administrative and hybrid method data. MMIS was used for the FFS population. Hybrid method was used for 10 MCOs; Administrative method was used for 5 MCOs. Rate was audited or validated. State noted: "The rate is weighted based on the size of the measure-eligible population for each reporting unit."</t>
        </is>
      </c>
      <c r="H6" s="4" t="n">
        <v>0.754</v>
      </c>
      <c r="I6" s="4" t="n">
        <v>0.581</v>
      </c>
      <c r="J6" s="4" t="n">
        <v>0.791</v>
      </c>
      <c r="K6" s="4" t="n">
        <v>0.158</v>
      </c>
      <c r="L6" s="4" t="n">
        <v>0.348</v>
      </c>
      <c r="M6" s="4" t="n">
        <v>0.6830000000000001</v>
      </c>
    </row>
    <row r="7">
      <c r="A7" t="n">
        <v>2024</v>
      </c>
      <c r="B7" t="inlineStr">
        <is>
          <t>Separate CHIP (Title XXI)</t>
        </is>
      </c>
      <c r="C7" t="inlineStr">
        <is>
          <t>Administrative &amp; Hybrid</t>
        </is>
      </c>
      <c r="D7" t="inlineStr">
        <is>
          <t>Percentage who had One or More Capillary or Venous Lead Blood Test for Lead Poisoning by their Second Birthday</t>
        </is>
      </c>
      <c r="E7" t="inlineStr">
        <is>
          <t>Higher values are better</t>
        </is>
      </c>
      <c r="F7" t="inlineStr">
        <is>
          <t>Mathematica analysis of the Quality Measure Reporting (QMR) system reports for the 2024 Core Set as of April 28, 2025.</t>
        </is>
      </c>
      <c r="G7" t="inlineStr">
        <is>
          <t>State-specific comments: Separate CHIP rate includes managed care population (12 MCOs). The state described the "other" data sources used to calculate the measure as the following: "Health Plan Billing Data." Rate was derived using both administrative and hybrid method data. Hybrid method was used for 9 MCOs; Administrative method was used for 3 MCOs. Rate was audited or validated. State noted: "The rates are weighted based on the size of the measure-eligible population of the reported unit."</t>
        </is>
      </c>
      <c r="H7" s="4" t="n">
        <v>0.851</v>
      </c>
      <c r="I7" s="4" t="n">
        <v>0.581</v>
      </c>
      <c r="J7" s="4" t="n">
        <v>0.791</v>
      </c>
      <c r="K7" s="4" t="n">
        <v>0.158</v>
      </c>
      <c r="L7" s="4" t="n">
        <v>0.348</v>
      </c>
      <c r="M7" s="4" t="n">
        <v>0.6830000000000001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5" customWidth="1" min="2" max="2"/>
    <col width="16" customWidth="1" min="3" max="3"/>
    <col width="58"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Live Births Weighing Less Than 2,500 Grams (LBW-CH)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Live Births Weighing Less Than 2,500 Grams</t>
        </is>
      </c>
      <c r="E4" t="inlineStr">
        <is>
          <t>Lower values are better</t>
        </is>
      </c>
      <c r="F4" t="inlineStr">
        <is>
          <t>Mathematica analysis of the Centers for Disease Control and Prevention Wide-ranging Online Data for Epidemiologic Research (CDC WONDER) data as of February 2, 2023.</t>
        </is>
      </c>
      <c r="G4" t="inlineStr">
        <is>
          <t>State-specific comments: CMS calculated rate using CDC WONDER data.</t>
        </is>
      </c>
      <c r="H4" s="4" t="n">
        <v>0.09</v>
      </c>
      <c r="I4" s="4" t="n">
        <v>0.1</v>
      </c>
      <c r="J4" s="4" t="n">
        <v>0.138</v>
      </c>
      <c r="K4" s="4" t="n">
        <v>0.075</v>
      </c>
      <c r="L4" s="4" t="n">
        <v>0.089</v>
      </c>
      <c r="M4" s="4" t="n">
        <v>0.11</v>
      </c>
    </row>
    <row r="5">
      <c r="A5" t="n">
        <v>2022</v>
      </c>
      <c r="B5" t="inlineStr">
        <is>
          <t>Medicaid only</t>
        </is>
      </c>
      <c r="C5" t="inlineStr">
        <is>
          <t>Administrative</t>
        </is>
      </c>
      <c r="D5" t="inlineStr">
        <is>
          <t>Percentage of Live Births Weighing Less Than 2,500 Grams</t>
        </is>
      </c>
      <c r="E5" t="inlineStr">
        <is>
          <t>Lower values are better</t>
        </is>
      </c>
      <c r="F5" t="inlineStr">
        <is>
          <t>Mathematica analysis of the Centers for Disease Control and Prevention Wide-ranging Online Data for Epidemiologic Research (CDC WONDER) data as of February 2, 2023.</t>
        </is>
      </c>
      <c r="G5" t="inlineStr">
        <is>
          <t>State-specific comments: CMS calculated rate using CDC WONDER data.</t>
        </is>
      </c>
      <c r="H5" s="4" t="n">
        <v>0.092</v>
      </c>
      <c r="I5" s="4" t="n">
        <v>0.101</v>
      </c>
      <c r="J5" s="4" t="n">
        <v>0.144</v>
      </c>
      <c r="K5" s="4" t="n">
        <v>0.078</v>
      </c>
      <c r="L5" s="4" t="n">
        <v>0.092</v>
      </c>
      <c r="M5" s="4" t="n">
        <v>0.111</v>
      </c>
    </row>
    <row r="6">
      <c r="A6" t="n">
        <v>2023</v>
      </c>
      <c r="B6" t="inlineStr">
        <is>
          <t>Medicaid only</t>
        </is>
      </c>
      <c r="C6" t="inlineStr">
        <is>
          <t>Administrative</t>
        </is>
      </c>
      <c r="D6" t="inlineStr">
        <is>
          <t>Percentage of Live Births Weighing Less Than 2,500 Grams</t>
        </is>
      </c>
      <c r="E6" t="inlineStr">
        <is>
          <t>Lower values are better</t>
        </is>
      </c>
      <c r="F6" t="inlineStr">
        <is>
          <t>Mathematica analysis of the Centers for Disease Control and Prevention Wide-ranging Online Data for Epidemiologic Research (CDC WONDER) data as of October 26, 2023.</t>
        </is>
      </c>
      <c r="G6" t="inlineStr">
        <is>
          <t>State-specific comments: CMS calculated rate using CDC WONDER data.</t>
        </is>
      </c>
      <c r="H6" s="4" t="n">
        <v>0.092</v>
      </c>
      <c r="I6" s="4" t="n">
        <v>0.104</v>
      </c>
      <c r="J6" s="4" t="n">
        <v>0.148</v>
      </c>
      <c r="K6" s="4" t="n">
        <v>0.075</v>
      </c>
      <c r="L6" s="4" t="n">
        <v>0.092</v>
      </c>
      <c r="M6" s="4" t="n">
        <v>0.114</v>
      </c>
    </row>
    <row r="7">
      <c r="A7" t="n">
        <v>2024</v>
      </c>
      <c r="B7" t="inlineStr">
        <is>
          <t>Medicaid</t>
        </is>
      </c>
      <c r="C7" t="inlineStr">
        <is>
          <t>Administrative</t>
        </is>
      </c>
      <c r="D7" t="inlineStr">
        <is>
          <t>Percentage of Live Births Weighing Less Than 2,500 Grams</t>
        </is>
      </c>
      <c r="E7" t="inlineStr">
        <is>
          <t>Lower values are better</t>
        </is>
      </c>
      <c r="F7" t="inlineStr">
        <is>
          <t>Mathematica analysis of the Centers for Disease Control and Prevention Wide-ranging Online Data for Epidemiologic Research (CDC WONDER) data as of October 30, 2024.</t>
        </is>
      </c>
      <c r="G7" t="inlineStr">
        <is>
          <t>State-specific comments: CMS calculated rate using CDC WONDER data.</t>
        </is>
      </c>
      <c r="H7" s="4" t="n">
        <v>0.094</v>
      </c>
      <c r="I7" s="4" t="n">
        <v>0.102</v>
      </c>
      <c r="J7" s="4" t="n">
        <v>0.15</v>
      </c>
      <c r="K7" s="4" t="n">
        <v>0.077</v>
      </c>
      <c r="L7" s="4" t="n">
        <v>0.091</v>
      </c>
      <c r="M7" s="4" t="n">
        <v>0.112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15"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Low-Risk Cesarean Delivery (LRCD-CH)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of Nulliparous, Term, Singleton, in a Cephalic Presentation Births Delivered by Cesarean</t>
        </is>
      </c>
      <c r="E4" t="inlineStr">
        <is>
          <t>Lower values are better</t>
        </is>
      </c>
      <c r="F4" t="inlineStr">
        <is>
          <t>Mathematica analysis of the Centers for Disease Control and Prevention Wide-ranging Online Data for Epidemiologic Research (CDC WONDER) data as of February 2, 2023.</t>
        </is>
      </c>
      <c r="G4" t="inlineStr">
        <is>
          <t>State-specific comments: CMS calculated rate using CDC WONDER data.</t>
        </is>
      </c>
      <c r="H4" s="4" t="n">
        <v>0.261</v>
      </c>
      <c r="I4" s="4" t="n">
        <v>0.245</v>
      </c>
      <c r="J4" s="4" t="n">
        <v>0.46</v>
      </c>
      <c r="K4" s="4" t="n">
        <v>0.165</v>
      </c>
      <c r="L4" s="4" t="n">
        <v>0.217</v>
      </c>
      <c r="M4" s="4" t="n">
        <v>0.263</v>
      </c>
    </row>
    <row r="5">
      <c r="A5" t="n">
        <v>2022</v>
      </c>
      <c r="B5" t="inlineStr">
        <is>
          <t>Medicaid only</t>
        </is>
      </c>
      <c r="C5" t="inlineStr">
        <is>
          <t>Administrative</t>
        </is>
      </c>
      <c r="D5" t="inlineStr">
        <is>
          <t>Percentage of Nulliparous, Term, Singleton, in a Cephalic Presentation Births Delivered by Cesarean</t>
        </is>
      </c>
      <c r="E5" t="inlineStr">
        <is>
          <t>Lower values are better</t>
        </is>
      </c>
      <c r="F5" t="inlineStr">
        <is>
          <t>Mathematica analysis of the Centers for Disease Control and Prevention Wide-ranging Online Data for Epidemiologic Research (CDC WONDER) data as of February 2, 2023.</t>
        </is>
      </c>
      <c r="G5" t="inlineStr">
        <is>
          <t>State-specific comments: CMS calculated rate using CDC WONDER data.</t>
        </is>
      </c>
      <c r="H5" s="4" t="n">
        <v>0.271</v>
      </c>
      <c r="I5" s="4" t="n">
        <v>0.247</v>
      </c>
      <c r="J5" s="4" t="n">
        <v>0.472</v>
      </c>
      <c r="K5" s="4" t="n">
        <v>0.173</v>
      </c>
      <c r="L5" s="4" t="n">
        <v>0.225</v>
      </c>
      <c r="M5" s="4" t="n">
        <v>0.269</v>
      </c>
    </row>
    <row r="6">
      <c r="A6" t="n">
        <v>2023</v>
      </c>
      <c r="B6" t="inlineStr">
        <is>
          <t>Medicaid only</t>
        </is>
      </c>
      <c r="C6" t="inlineStr">
        <is>
          <t>Administrative</t>
        </is>
      </c>
      <c r="D6" t="inlineStr">
        <is>
          <t>Percentage of Nulliparous, Term, Singleton, in a Cephalic Presentation Births Delivered by Cesarean</t>
        </is>
      </c>
      <c r="E6" t="inlineStr">
        <is>
          <t>Lower values are better</t>
        </is>
      </c>
      <c r="F6" t="inlineStr">
        <is>
          <t>Mathematica analysis of the Centers for Disease Control and Prevention Wide-ranging Online Data for Epidemiologic Research (CDC WONDER) data as of October 26, 2023.</t>
        </is>
      </c>
      <c r="G6" t="inlineStr">
        <is>
          <t>State-specific comments: CMS calculated rate using CDC WONDER data.</t>
        </is>
      </c>
      <c r="H6" s="4" t="n">
        <v>0.264</v>
      </c>
      <c r="I6" s="4" t="n">
        <v>0.242</v>
      </c>
      <c r="J6" s="4" t="n">
        <v>0.487</v>
      </c>
      <c r="K6" s="4" t="n">
        <v>0.151</v>
      </c>
      <c r="L6" s="4" t="n">
        <v>0.223</v>
      </c>
      <c r="M6" s="4" t="n">
        <v>0.266</v>
      </c>
    </row>
    <row r="7">
      <c r="A7" t="n">
        <v>2024</v>
      </c>
      <c r="B7" t="inlineStr">
        <is>
          <t>Medicaid</t>
        </is>
      </c>
      <c r="C7" t="inlineStr">
        <is>
          <t>Administrative</t>
        </is>
      </c>
      <c r="D7" t="inlineStr">
        <is>
          <t>Percentage of Nulliparous, Term, Singleton, in a Cephalic Presentation Births Delivered by Cesarean</t>
        </is>
      </c>
      <c r="E7" t="inlineStr">
        <is>
          <t>Lower values are better</t>
        </is>
      </c>
      <c r="F7" t="inlineStr">
        <is>
          <t>Mathematica analysis of the Centers for Disease Control and Prevention Wide-ranging Online Data for Epidemiologic Research (CDC WONDER) data as of October 30, 2024.</t>
        </is>
      </c>
      <c r="G7" t="inlineStr">
        <is>
          <t>State-specific comments: CMS calculated rate using CDC WONDER data.</t>
        </is>
      </c>
      <c r="H7" s="4" t="n">
        <v>0.263</v>
      </c>
      <c r="I7" s="4" t="n">
        <v>0.241</v>
      </c>
      <c r="J7" s="4" t="n">
        <v>0.481</v>
      </c>
      <c r="K7" s="4" t="n">
        <v>0.171</v>
      </c>
      <c r="L7" s="4" t="n">
        <v>0.218</v>
      </c>
      <c r="M7" s="4" t="n">
        <v>0.264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34" customWidth="1" min="1" max="1"/>
    <col width="13" customWidth="1" min="2" max="2"/>
    <col width="12" customWidth="1" min="3" max="3"/>
    <col width="13" customWidth="1" min="4" max="4"/>
    <col width="60" customWidth="1" min="5" max="5"/>
    <col width="26" customWidth="1" min="6" max="6"/>
    <col width="60" customWidth="1" min="7" max="7"/>
    <col width="60" customWidth="1" min="8" max="8"/>
    <col width="23"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Medical Assistance With Smoking and Tobacco Use Cessation: Age 18 and Older (MSC-AD)</t>
        </is>
      </c>
    </row>
    <row r="2">
      <c r="A2" t="inlineStr">
        <is>
          <t>Discussing Cessation Strategies: Due to data source or specification changes, comparisons should only be made within the following Core Set Years: 2021-2022, 2023-2024. See measure information tab for more information.</t>
        </is>
      </c>
      <c r="B2" t="inlineStr"/>
    </row>
    <row r="3">
      <c r="A3" t="inlineStr">
        <is>
          <t>Advising Users to Quit: Due to data source or specification changes, comparisons should only be made within the following Core Set Years: 2021-2022, 2023-2024. See measure information tab for more information.</t>
        </is>
      </c>
      <c r="B3" t="inlineStr"/>
    </row>
    <row r="4">
      <c r="A4" t="inlineStr">
        <is>
          <t>Discussing Cessation Medications: Due to data source or specification changes, comparisons should only be made within the following Core Set Years: 2021-2022, 2023-2024. See measure information tab for more information.</t>
        </is>
      </c>
      <c r="B4" t="inlineStr"/>
    </row>
    <row r="5"/>
    <row r="6">
      <c r="A6" s="1" t="inlineStr">
        <is>
          <t>Rate</t>
        </is>
      </c>
      <c r="B6" s="1" t="inlineStr">
        <is>
          <t>Data Period</t>
        </is>
      </c>
      <c r="C6" s="1" t="inlineStr">
        <is>
          <t>Population</t>
        </is>
      </c>
      <c r="D6" s="1" t="inlineStr">
        <is>
          <t>Methodology</t>
        </is>
      </c>
      <c r="E6" s="1" t="inlineStr">
        <is>
          <t>Value Type</t>
        </is>
      </c>
      <c r="F6" s="1" t="inlineStr">
        <is>
          <t>Value Directionality</t>
        </is>
      </c>
      <c r="G6" s="1" t="inlineStr">
        <is>
          <t>Analysis Source</t>
        </is>
      </c>
      <c r="H6" s="1" t="inlineStr">
        <is>
          <t>Notes</t>
        </is>
      </c>
      <c r="I6" s="1" t="inlineStr">
        <is>
          <t>Value</t>
        </is>
      </c>
      <c r="J6" s="1" t="inlineStr">
        <is>
          <t>Median</t>
        </is>
      </c>
      <c r="K6" s="1" t="inlineStr">
        <is>
          <t>Maximum</t>
        </is>
      </c>
      <c r="L6" s="1" t="inlineStr">
        <is>
          <t>Minimum</t>
        </is>
      </c>
      <c r="M6" s="1" t="inlineStr">
        <is>
          <t>First quartile</t>
        </is>
      </c>
      <c r="N6" s="1" t="inlineStr">
        <is>
          <t>Third quartile</t>
        </is>
      </c>
    </row>
    <row r="7">
      <c r="A7" t="inlineStr">
        <is>
          <t>Advising Users to Quit</t>
        </is>
      </c>
      <c r="B7" t="n">
        <v>2021</v>
      </c>
      <c r="C7" t="inlineStr"/>
      <c r="D7" t="inlineStr"/>
      <c r="E7" t="inlineStr">
        <is>
          <t>Percentage of Current Smokers and Tobacco Users Advised to Quit: Ages 18 to 64 Years</t>
        </is>
      </c>
      <c r="F7" t="inlineStr">
        <is>
          <t>Higher values are better</t>
        </is>
      </c>
      <c r="G7" t="inlineStr">
        <is>
          <t>Mathematica analysis of the Quality Measure Reporting (QMR) system reports for the FFY 2021 reporting cycle as of June 1, 2023.</t>
        </is>
      </c>
      <c r="H7" t="inlineStr"/>
      <c r="I7" t="inlineStr">
        <is>
          <t>Not reported by state</t>
        </is>
      </c>
      <c r="J7" s="4" t="n">
        <v>0.748</v>
      </c>
      <c r="K7" s="4" t="n">
        <v>0.849</v>
      </c>
      <c r="L7" s="4" t="n">
        <v>0.367</v>
      </c>
      <c r="M7" s="4" t="n">
        <v>0.668</v>
      </c>
      <c r="N7" s="4" t="n">
        <v>0.76</v>
      </c>
    </row>
    <row r="8">
      <c r="A8" t="inlineStr">
        <is>
          <t>Advising Users to Quit</t>
        </is>
      </c>
      <c r="B8" t="n">
        <v>2022</v>
      </c>
      <c r="C8" t="inlineStr">
        <is>
          <t>Medicaid</t>
        </is>
      </c>
      <c r="D8" t="inlineStr">
        <is>
          <t>CAHPS 5.1H</t>
        </is>
      </c>
      <c r="E8" t="inlineStr">
        <is>
          <t>Percentage of Current Smokers and Tobacco Users Advised to Quit: Ages 18 to 64 Years</t>
        </is>
      </c>
      <c r="F8" t="inlineStr">
        <is>
          <t>Higher values are better</t>
        </is>
      </c>
      <c r="G8" t="inlineStr">
        <is>
          <t>Mathematica analysis of the Quality Measure Reporting (QMR) system reports for the FFY 2022 reporting cycle as of June 1, 2023.</t>
        </is>
      </c>
      <c r="H8" t="inlineStr">
        <is>
          <t>State-specific comments: Rates include managed care population (28 MCOs). Rates were audited or validated. Our data include age 65+ and exclude duals.</t>
        </is>
      </c>
      <c r="I8" s="4" t="n">
        <v>0.824</v>
      </c>
      <c r="J8" s="4" t="n">
        <v>0.726</v>
      </c>
      <c r="K8" s="4" t="n">
        <v>0.876</v>
      </c>
      <c r="L8" s="4" t="n">
        <v>0.524</v>
      </c>
      <c r="M8" s="4" t="n">
        <v>0.646</v>
      </c>
      <c r="N8" s="4" t="n">
        <v>0.744</v>
      </c>
    </row>
    <row r="9">
      <c r="A9" t="inlineStr">
        <is>
          <t>Advising Users to Quit</t>
        </is>
      </c>
      <c r="B9" t="n">
        <v>2023</v>
      </c>
      <c r="C9" t="inlineStr"/>
      <c r="D9" t="inlineStr"/>
      <c r="E9" t="inlineStr">
        <is>
          <t>Percentage of Current Smokers and Tobacco Users Advised to Quit: Ages 18 to 64 Years</t>
        </is>
      </c>
      <c r="F9" t="inlineStr">
        <is>
          <t>Higher values are better</t>
        </is>
      </c>
      <c r="G9"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9" t="inlineStr"/>
      <c r="I9" t="inlineStr">
        <is>
          <t>Not reported by state</t>
        </is>
      </c>
      <c r="J9" s="4" t="n">
        <v>0.73</v>
      </c>
      <c r="K9" s="4" t="n">
        <v>0.836</v>
      </c>
      <c r="L9" s="4" t="n">
        <v>0.554</v>
      </c>
      <c r="M9" s="4" t="n">
        <v>0.694</v>
      </c>
      <c r="N9" s="4" t="n">
        <v>0.765</v>
      </c>
    </row>
    <row r="10">
      <c r="A10" t="inlineStr">
        <is>
          <t>Advising Users to Quit</t>
        </is>
      </c>
      <c r="B10" t="n">
        <v>2024</v>
      </c>
      <c r="C10" t="inlineStr">
        <is>
          <t>Medicaid</t>
        </is>
      </c>
      <c r="D10" t="inlineStr">
        <is>
          <t>CAHPS 5.1H</t>
        </is>
      </c>
      <c r="E10" t="inlineStr">
        <is>
          <t>Percentage of Current Smokers and Tobacco Users Advised to Quit: Ages 18 to 64</t>
        </is>
      </c>
      <c r="F10" t="inlineStr">
        <is>
          <t>Higher values are better</t>
        </is>
      </c>
      <c r="G10"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0" t="inlineStr">
        <is>
          <t>State-specific comments: Rates were calculated using data from the AHRQ CAHPS Database. Rates include managed care population (12 MCOs).</t>
        </is>
      </c>
      <c r="I10" s="4" t="n">
        <v>0.749</v>
      </c>
      <c r="J10" s="4" t="n">
        <v>0.745</v>
      </c>
      <c r="K10" s="4" t="n">
        <v>0.8149999999999999</v>
      </c>
      <c r="L10" s="4" t="n">
        <v>0.572</v>
      </c>
      <c r="M10" s="4" t="n">
        <v>0.698</v>
      </c>
      <c r="N10" s="4" t="n">
        <v>0.771</v>
      </c>
    </row>
    <row r="11">
      <c r="A11" t="inlineStr">
        <is>
          <t>Discussing Cessation Medications</t>
        </is>
      </c>
      <c r="B11" t="n">
        <v>2021</v>
      </c>
      <c r="C11" t="inlineStr"/>
      <c r="D11" t="inlineStr"/>
      <c r="E11" t="inlineStr">
        <is>
          <t>Percentage of Current Smokers and Tobacco Users Discussed or Recommended Cessation Medications: Ages 18 to 64 Years</t>
        </is>
      </c>
      <c r="F11" t="inlineStr">
        <is>
          <t>Higher values are better</t>
        </is>
      </c>
      <c r="G11" t="inlineStr">
        <is>
          <t>Mathematica analysis of the Quality Measure Reporting (QMR) system reports for the FFY 2021 reporting cycle as of June 1, 2023.</t>
        </is>
      </c>
      <c r="H11" t="inlineStr"/>
      <c r="I11" t="inlineStr">
        <is>
          <t>Not reported by state</t>
        </is>
      </c>
      <c r="J11" s="4" t="n">
        <v>0.504</v>
      </c>
      <c r="K11" s="4" t="n">
        <v>0.661</v>
      </c>
      <c r="L11" s="4" t="n">
        <v>0.313</v>
      </c>
      <c r="M11" s="4" t="n">
        <v>0.475</v>
      </c>
      <c r="N11" s="4" t="n">
        <v>0.554</v>
      </c>
    </row>
    <row r="12">
      <c r="A12" t="inlineStr">
        <is>
          <t>Discussing Cessation Medications</t>
        </is>
      </c>
      <c r="B12" t="n">
        <v>2022</v>
      </c>
      <c r="C12" t="inlineStr">
        <is>
          <t>Medicaid</t>
        </is>
      </c>
      <c r="D12" t="inlineStr">
        <is>
          <t>CAHPS 5.1H</t>
        </is>
      </c>
      <c r="E12" t="inlineStr">
        <is>
          <t>Percentage of Current Smokers and Tobacco Users Discussed or Recommended Cessation Medications: Ages 18 to 64 Years</t>
        </is>
      </c>
      <c r="F12" t="inlineStr">
        <is>
          <t>Higher values are better</t>
        </is>
      </c>
      <c r="G12" t="inlineStr">
        <is>
          <t>Mathematica analysis of the Quality Measure Reporting (QMR) system reports for the FFY 2022 reporting cycle as of June 1, 2023.</t>
        </is>
      </c>
      <c r="H12" t="inlineStr">
        <is>
          <t>State-specific comments: Rates include managed care population (28 MCOs). Rates were audited or validated. Our data include age 65+ and exclude duals.</t>
        </is>
      </c>
      <c r="I12" s="4" t="n">
        <v>0.674</v>
      </c>
      <c r="J12" s="4" t="n">
        <v>0.499</v>
      </c>
      <c r="K12" s="4" t="n">
        <v>0.844</v>
      </c>
      <c r="L12" s="4" t="n">
        <v>0.166</v>
      </c>
      <c r="M12" s="4" t="n">
        <v>0.461</v>
      </c>
      <c r="N12" s="4" t="n">
        <v>0.577</v>
      </c>
    </row>
    <row r="13">
      <c r="A13" t="inlineStr">
        <is>
          <t>Discussing Cessation Medications</t>
        </is>
      </c>
      <c r="B13" t="n">
        <v>2023</v>
      </c>
      <c r="C13" t="inlineStr"/>
      <c r="D13" t="inlineStr"/>
      <c r="E13" t="inlineStr">
        <is>
          <t>Percentage of Current Smokers and Tobacco Users Discussed or Recommended Cessation Medications: Ages 18 to 64 Years</t>
        </is>
      </c>
      <c r="F13" t="inlineStr">
        <is>
          <t>Higher values are better</t>
        </is>
      </c>
      <c r="G13"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13" t="inlineStr"/>
      <c r="I13" t="inlineStr">
        <is>
          <t>Not reported by state</t>
        </is>
      </c>
      <c r="J13" s="4" t="n">
        <v>0.516</v>
      </c>
      <c r="K13" s="4" t="n">
        <v>0.662</v>
      </c>
      <c r="L13" s="4" t="n">
        <v>0.333</v>
      </c>
      <c r="M13" s="4" t="n">
        <v>0.463</v>
      </c>
      <c r="N13" s="4" t="n">
        <v>0.5580000000000001</v>
      </c>
    </row>
    <row r="14">
      <c r="A14" t="inlineStr">
        <is>
          <t>Discussing Cessation Medications</t>
        </is>
      </c>
      <c r="B14" t="n">
        <v>2024</v>
      </c>
      <c r="C14" t="inlineStr">
        <is>
          <t>Medicaid</t>
        </is>
      </c>
      <c r="D14" t="inlineStr">
        <is>
          <t>CAHPS 5.1H</t>
        </is>
      </c>
      <c r="E14" t="inlineStr">
        <is>
          <t>Percentage of Current Smokers and Tobacco Users Discussed or Recommended Cessation Medications: Ages 18 to 64</t>
        </is>
      </c>
      <c r="F14" t="inlineStr">
        <is>
          <t>Higher values are better</t>
        </is>
      </c>
      <c r="G14"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4" t="inlineStr">
        <is>
          <t>State-specific comments: Rates were calculated using data from the AHRQ CAHPS Database. Rates include managed care population (12 MCOs).</t>
        </is>
      </c>
      <c r="I14" s="4" t="n">
        <v>0.545</v>
      </c>
      <c r="J14" s="4" t="n">
        <v>0.529</v>
      </c>
      <c r="K14" s="4" t="n">
        <v>0.627</v>
      </c>
      <c r="L14" s="4" t="n">
        <v>0.324</v>
      </c>
      <c r="M14" s="4" t="n">
        <v>0.469</v>
      </c>
      <c r="N14" s="4" t="n">
        <v>0.5580000000000001</v>
      </c>
    </row>
    <row r="15">
      <c r="A15" t="inlineStr">
        <is>
          <t>Discussing Cessation Strategies</t>
        </is>
      </c>
      <c r="B15" t="n">
        <v>2021</v>
      </c>
      <c r="C15" t="inlineStr"/>
      <c r="D15" t="inlineStr"/>
      <c r="E15" t="inlineStr">
        <is>
          <t>Percentage of Current Smokers and Tobacco Users Discussed or were Provided Other Cessation Methods or Strategies: Ages 18 to 64 Years</t>
        </is>
      </c>
      <c r="F15" t="inlineStr">
        <is>
          <t>Higher values are better</t>
        </is>
      </c>
      <c r="G15" t="inlineStr">
        <is>
          <t>Mathematica analysis of the Quality Measure Reporting (QMR) system reports for the FFY 2021 reporting cycle as of June 1, 2023.</t>
        </is>
      </c>
      <c r="H15" t="inlineStr"/>
      <c r="I15" t="inlineStr">
        <is>
          <t>Not reported by state</t>
        </is>
      </c>
      <c r="J15" s="4" t="n">
        <v>0.473</v>
      </c>
      <c r="K15" s="4" t="n">
        <v>0.598</v>
      </c>
      <c r="L15" s="4" t="n">
        <v>0.274</v>
      </c>
      <c r="M15" s="4" t="n">
        <v>0.425</v>
      </c>
      <c r="N15" s="4" t="n">
        <v>0.509</v>
      </c>
    </row>
    <row r="16">
      <c r="A16" t="inlineStr">
        <is>
          <t>Discussing Cessation Strategies</t>
        </is>
      </c>
      <c r="B16" t="n">
        <v>2022</v>
      </c>
      <c r="C16" t="inlineStr">
        <is>
          <t>Medicaid</t>
        </is>
      </c>
      <c r="D16" t="inlineStr">
        <is>
          <t>CAHPS 5.1H</t>
        </is>
      </c>
      <c r="E16" t="inlineStr">
        <is>
          <t>Percentage of Current Smokers and Tobacco Users Discussed or were Provided Other Cessation Methods or Strategies: Ages 18 to 64 Years</t>
        </is>
      </c>
      <c r="F16" t="inlineStr">
        <is>
          <t>Higher values are better</t>
        </is>
      </c>
      <c r="G16" t="inlineStr">
        <is>
          <t>Mathematica analysis of the Quality Measure Reporting (QMR) system reports for the FFY 2022 reporting cycle as of June 1, 2023.</t>
        </is>
      </c>
      <c r="H16" t="inlineStr">
        <is>
          <t>State-specific comments: Rates include managed care population (28 MCOs). Rates were audited or validated. Our data include age 65+ and exclude duals.</t>
        </is>
      </c>
      <c r="I16" s="4" t="n">
        <v>0.596</v>
      </c>
      <c r="J16" s="4" t="n">
        <v>0.442</v>
      </c>
      <c r="K16" s="4" t="n">
        <v>0.849</v>
      </c>
      <c r="L16" s="4" t="n">
        <v>0.166</v>
      </c>
      <c r="M16" s="4" t="n">
        <v>0.405</v>
      </c>
      <c r="N16" s="4" t="n">
        <v>0.493</v>
      </c>
    </row>
    <row r="17">
      <c r="A17" t="inlineStr">
        <is>
          <t>Discussing Cessation Strategies</t>
        </is>
      </c>
      <c r="B17" t="n">
        <v>2023</v>
      </c>
      <c r="C17" t="inlineStr"/>
      <c r="D17" t="inlineStr"/>
      <c r="E17" t="inlineStr">
        <is>
          <t>Percentage of Current Smokers and Tobacco Users Discussed or Provided Other Cessation Methods or Strategies: Ages 18 to 64 Years</t>
        </is>
      </c>
      <c r="F17" t="inlineStr">
        <is>
          <t>Higher values are better</t>
        </is>
      </c>
      <c r="G17" t="inlineStr">
        <is>
          <t>CMS used two data sources for reporting this measure for the 2023 Adult Core Set. The two sources are the AHRQ CAHPS Database for the July 2022 to June 2023 data collection period as of January 24, 2024 and Mathematica analysis of the Quality Measure Reporting (QMR) system reports for the 2023 Core Set as of May 16, 2024. The state-specific comments identify the data source for each state’s rate for the 2023 Core Set.</t>
        </is>
      </c>
      <c r="H17" t="inlineStr"/>
      <c r="I17" t="inlineStr">
        <is>
          <t>Not reported by state</t>
        </is>
      </c>
      <c r="J17" s="4" t="n">
        <v>0.433</v>
      </c>
      <c r="K17" s="4" t="n">
        <v>0.598</v>
      </c>
      <c r="L17" s="4" t="n">
        <v>0.279</v>
      </c>
      <c r="M17" s="4" t="n">
        <v>0.415</v>
      </c>
      <c r="N17" s="4" t="n">
        <v>0.484</v>
      </c>
    </row>
    <row r="18">
      <c r="A18" t="inlineStr">
        <is>
          <t>Discussing Cessation Strategies</t>
        </is>
      </c>
      <c r="B18" t="n">
        <v>2024</v>
      </c>
      <c r="C18" t="inlineStr">
        <is>
          <t>Medicaid</t>
        </is>
      </c>
      <c r="D18" t="inlineStr">
        <is>
          <t>CAHPS 5.1H</t>
        </is>
      </c>
      <c r="E18" t="inlineStr">
        <is>
          <t>Percentage of Current Smokers and Tobacco Users Discussed or Provided Other Cessation Methods or Strategies: Ages 18 to 64</t>
        </is>
      </c>
      <c r="F18" t="inlineStr">
        <is>
          <t>Higher values are better</t>
        </is>
      </c>
      <c r="G18" t="inlineStr">
        <is>
          <t>CMS used two data sources for reporting this measure for the 2024 Adult Core Set. The two sources are the AHRQ CAHPS Database for the July 2023 to June 2024 data collection period as of January 28, 2025 and Mathematica analysis of the Quality Measure Reporting (QMR) system reports for the 2024 Core Set as of April 28, 2025. The state-specific comments identify the data source for each state's rate for the 2024 Core Set.</t>
        </is>
      </c>
      <c r="H18" t="inlineStr">
        <is>
          <t>State-specific comments: Rates were calculated using data from the AHRQ CAHPS Database. Rates include managed care population (12 MCOs).</t>
        </is>
      </c>
      <c r="I18" s="4" t="n">
        <v>0.485</v>
      </c>
      <c r="J18" s="4" t="n">
        <v>0.462</v>
      </c>
      <c r="K18" s="4" t="n">
        <v>0.598</v>
      </c>
      <c r="L18" s="4" t="n">
        <v>0.252</v>
      </c>
      <c r="M18" s="4" t="n">
        <v>0.416</v>
      </c>
      <c r="N18" s="4" t="n">
        <v>0.487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39" customWidth="1" min="1" max="1"/>
    <col width="22" customWidth="1" min="2" max="2"/>
    <col width="13" customWidth="1" min="3" max="3"/>
    <col width="60" customWidth="1" min="4" max="4"/>
    <col width="16" customWidth="1" min="5" max="5"/>
    <col width="60" customWidth="1" min="6" max="6"/>
    <col width="26" customWidth="1" min="7" max="7"/>
    <col width="60" customWidth="1" min="8" max="8"/>
    <col width="60" customWidth="1" min="9" max="9"/>
    <col width="7" customWidth="1" min="10" max="10"/>
    <col width="8" customWidth="1" min="11" max="11"/>
    <col width="9" customWidth="1" min="12" max="12"/>
    <col width="9" customWidth="1" min="13" max="13"/>
    <col width="16" customWidth="1" min="14" max="14"/>
    <col width="16" customWidth="1" min="15" max="15"/>
  </cols>
  <sheetData>
    <row r="1">
      <c r="A1" t="inlineStr">
        <is>
          <t>Measure Name</t>
        </is>
      </c>
      <c r="B1" t="inlineStr">
        <is>
          <t>Metabolic Monitoring for Children and Adolescents on Antipsychotics: Ages 1 to 17 (APM-CH)</t>
        </is>
      </c>
    </row>
    <row r="2"/>
    <row r="3">
      <c r="A3" s="1" t="inlineStr">
        <is>
          <t>Rate</t>
        </is>
      </c>
      <c r="B3" s="1" t="inlineStr">
        <is>
          <t>Age</t>
        </is>
      </c>
      <c r="C3" s="1" t="inlineStr">
        <is>
          <t>Data Period</t>
        </is>
      </c>
      <c r="D3" s="1" t="inlineStr">
        <is>
          <t>Population</t>
        </is>
      </c>
      <c r="E3" s="1" t="inlineStr">
        <is>
          <t>Methodology</t>
        </is>
      </c>
      <c r="F3" s="1" t="inlineStr">
        <is>
          <t>Value Type</t>
        </is>
      </c>
      <c r="G3" s="1" t="inlineStr">
        <is>
          <t>Value Directionality</t>
        </is>
      </c>
      <c r="H3" s="1" t="inlineStr">
        <is>
          <t>Analysis Source</t>
        </is>
      </c>
      <c r="I3" s="1" t="inlineStr">
        <is>
          <t>Notes</t>
        </is>
      </c>
      <c r="J3" s="1" t="inlineStr">
        <is>
          <t>Value</t>
        </is>
      </c>
      <c r="K3" s="1" t="inlineStr">
        <is>
          <t>Median</t>
        </is>
      </c>
      <c r="L3" s="1" t="inlineStr">
        <is>
          <t>Maximum</t>
        </is>
      </c>
      <c r="M3" s="1" t="inlineStr">
        <is>
          <t>Minimum</t>
        </is>
      </c>
      <c r="N3" s="1" t="inlineStr">
        <is>
          <t>First quartile</t>
        </is>
      </c>
      <c r="O3" s="1" t="inlineStr">
        <is>
          <t>Third quartile</t>
        </is>
      </c>
    </row>
    <row r="4">
      <c r="A4" t="inlineStr">
        <is>
          <t>Blood Glucose Testing</t>
        </is>
      </c>
      <c r="B4" t="inlineStr">
        <is>
          <t>Ages 1 to 11</t>
        </is>
      </c>
      <c r="C4" t="n">
        <v>2024</v>
      </c>
      <c r="D4" t="inlineStr">
        <is>
          <t>Medicaid (Title XIX), Title XXI-funded Medicaid Expansion CHIP, Separate CHIP (Title XXI)</t>
        </is>
      </c>
      <c r="E4" t="inlineStr">
        <is>
          <t>Administrative</t>
        </is>
      </c>
      <c r="F4" t="inlineStr">
        <is>
          <t>Percentage with Two or More Antipsychotic Prescriptions that had Metabolic Testing for Blood Glucose: Ages 1 to 11</t>
        </is>
      </c>
      <c r="G4" t="inlineStr">
        <is>
          <t>Higher values are better</t>
        </is>
      </c>
      <c r="H4" t="inlineStr">
        <is>
          <t>Mathematica analysis of the Quality Measure Reporting (QMR) system reports for the 2024 Core Set as of April 28, 2025.</t>
        </is>
      </c>
      <c r="I4" t="inlineStr">
        <is>
          <t>State-specific comments: Rate combines the Medicaid and separate CHIP data reported by the state in the QMR system. See Medicaid and separate CHIP state-specific comments for information about the data reported for each population.</t>
        </is>
      </c>
      <c r="J4" s="4" t="n">
        <v>0.511</v>
      </c>
      <c r="K4" s="4" t="n">
        <v>0.436</v>
      </c>
      <c r="L4" s="4" t="n">
        <v>0.751</v>
      </c>
      <c r="M4" s="4" t="n">
        <v>0.231</v>
      </c>
      <c r="N4" s="4" t="n">
        <v>0.376</v>
      </c>
      <c r="O4" s="4" t="n">
        <v>0.505</v>
      </c>
    </row>
    <row r="5">
      <c r="A5" t="inlineStr">
        <is>
          <t>Blood Glucose Testing</t>
        </is>
      </c>
      <c r="B5" t="inlineStr">
        <is>
          <t>Ages 1 to 11</t>
        </is>
      </c>
      <c r="C5" t="n">
        <v>2024</v>
      </c>
      <c r="D5" t="inlineStr">
        <is>
          <t>Medicaid (Title XIX), Title XXI-funded Medicaid Expansion CHIP</t>
        </is>
      </c>
      <c r="E5" t="inlineStr">
        <is>
          <t>Administrative</t>
        </is>
      </c>
      <c r="F5" t="inlineStr">
        <is>
          <t>Percentage with Two or More Antipsychotic Prescriptions that had Metabolic Testing for Blood Glucose: Ages 1 to 11</t>
        </is>
      </c>
      <c r="G5" t="inlineStr">
        <is>
          <t>Higher values are better</t>
        </is>
      </c>
      <c r="H5" t="inlineStr">
        <is>
          <t>Mathematica analysis of the Quality Measure Reporting (QMR) system reports for the 2024 Core Set as of April 28, 2025.</t>
        </is>
      </c>
      <c r="I5" t="inlineStr">
        <is>
          <t>State-specific comments: Medicaid rates include FFS and managed care populations (15 MCOs). The state described the "other" data sources used to calculate the measure as the following: "Health Plan Billing Data." Rates were audited or validated.</t>
        </is>
      </c>
      <c r="J5" s="4" t="n">
        <v>0.511</v>
      </c>
      <c r="K5" s="4" t="n">
        <v>0.436</v>
      </c>
      <c r="L5" s="4" t="n">
        <v>0.751</v>
      </c>
      <c r="M5" s="4" t="n">
        <v>0.231</v>
      </c>
      <c r="N5" s="4" t="n">
        <v>0.376</v>
      </c>
      <c r="O5" s="4" t="n">
        <v>0.505</v>
      </c>
    </row>
    <row r="6">
      <c r="A6" t="inlineStr">
        <is>
          <t>Blood Glucose Testing</t>
        </is>
      </c>
      <c r="B6" t="inlineStr">
        <is>
          <t>Ages 1 to 11</t>
        </is>
      </c>
      <c r="C6" t="n">
        <v>2024</v>
      </c>
      <c r="D6" t="inlineStr">
        <is>
          <t>Separate CHIP (Title XXI)</t>
        </is>
      </c>
      <c r="E6" t="inlineStr">
        <is>
          <t>Administrative</t>
        </is>
      </c>
      <c r="F6" t="inlineStr">
        <is>
          <t>Percentage with Two or More Antipsychotic Prescriptions that had Metabolic Testing for Blood Glucose: Ages 1 to 11</t>
        </is>
      </c>
      <c r="G6" t="inlineStr">
        <is>
          <t>Higher values are better</t>
        </is>
      </c>
      <c r="H6" t="inlineStr">
        <is>
          <t>Mathematica analysis of the Quality Measure Reporting (QMR) system reports for the 2024 Core Set as of April 28, 2025.</t>
        </is>
      </c>
      <c r="I6" t="inlineStr">
        <is>
          <t>State-specific comments: Separate CHIP rates include managed care population (12 MCOs). The state described the "other" data sources used to calculate the measure as the following: "Health Plan Billing Data." Rates were audited or validated.</t>
        </is>
      </c>
      <c r="J6" s="4" t="n">
        <v>0.515</v>
      </c>
      <c r="K6" s="4" t="n">
        <v>0.436</v>
      </c>
      <c r="L6" s="4" t="n">
        <v>0.751</v>
      </c>
      <c r="M6" s="4" t="n">
        <v>0.231</v>
      </c>
      <c r="N6" s="4" t="n">
        <v>0.376</v>
      </c>
      <c r="O6" s="4" t="n">
        <v>0.505</v>
      </c>
    </row>
    <row r="7">
      <c r="A7" t="inlineStr">
        <is>
          <t>Blood Glucose Testing</t>
        </is>
      </c>
      <c r="B7" t="inlineStr">
        <is>
          <t>Ages 12 to 17</t>
        </is>
      </c>
      <c r="C7" t="n">
        <v>2024</v>
      </c>
      <c r="D7" t="inlineStr">
        <is>
          <t>Medicaid (Title XIX), Title XXI-funded Medicaid Expansion CHIP, Separate CHIP (Title XXI)</t>
        </is>
      </c>
      <c r="E7" t="inlineStr">
        <is>
          <t>Administrative</t>
        </is>
      </c>
      <c r="F7" t="inlineStr">
        <is>
          <t>Percentage with Two or More Antipsychotic Prescriptions that had Metabolic Testing for Blood Glucose: Ages 12 to 17</t>
        </is>
      </c>
      <c r="G7" t="inlineStr">
        <is>
          <t>Higher values are better</t>
        </is>
      </c>
      <c r="H7" t="inlineStr">
        <is>
          <t>Mathematica analysis of the Quality Measure Reporting (QMR) system reports for the 2024 Core Set as of April 28, 2025.</t>
        </is>
      </c>
      <c r="I7" t="inlineStr">
        <is>
          <t>State-specific comments: Rate combines the Medicaid and separate CHIP data reported by the state in the QMR system. See Medicaid and separate CHIP state-specific comments for information about the data reported for each population.</t>
        </is>
      </c>
      <c r="J7" s="4" t="n">
        <v>0.634</v>
      </c>
      <c r="K7" s="4" t="n">
        <v>0.597</v>
      </c>
      <c r="L7" s="4" t="n">
        <v>0.898</v>
      </c>
      <c r="M7" s="4" t="n">
        <v>0.397</v>
      </c>
      <c r="N7" s="4" t="n">
        <v>0.551</v>
      </c>
      <c r="O7" s="4" t="n">
        <v>0.638</v>
      </c>
    </row>
    <row r="8">
      <c r="A8" t="inlineStr">
        <is>
          <t>Blood Glucose Testing</t>
        </is>
      </c>
      <c r="B8" t="inlineStr">
        <is>
          <t>Ages 12 to 17</t>
        </is>
      </c>
      <c r="C8" t="n">
        <v>2024</v>
      </c>
      <c r="D8" t="inlineStr">
        <is>
          <t>Medicaid (Title XIX), Title XXI-funded Medicaid Expansion CHIP</t>
        </is>
      </c>
      <c r="E8" t="inlineStr">
        <is>
          <t>Administrative</t>
        </is>
      </c>
      <c r="F8" t="inlineStr">
        <is>
          <t>Percentage with Two or More Antipsychotic Prescriptions that had Metabolic Testing for Blood Glucose: Ages 12 to 17</t>
        </is>
      </c>
      <c r="G8" t="inlineStr">
        <is>
          <t>Higher values are better</t>
        </is>
      </c>
      <c r="H8" t="inlineStr">
        <is>
          <t>Mathematica analysis of the Quality Measure Reporting (QMR) system reports for the 2024 Core Set as of April 28, 2025.</t>
        </is>
      </c>
      <c r="I8" t="inlineStr">
        <is>
          <t>State-specific comments: Medicaid rates include FFS and managed care populations (15 MCOs). The state described the "other" data sources used to calculate the measure as the following: "Health Plan Billing Data." Rates were audited or validated.</t>
        </is>
      </c>
      <c r="J8" s="4" t="n">
        <v>0.628</v>
      </c>
      <c r="K8" s="4" t="n">
        <v>0.597</v>
      </c>
      <c r="L8" s="4" t="n">
        <v>0.898</v>
      </c>
      <c r="M8" s="4" t="n">
        <v>0.397</v>
      </c>
      <c r="N8" s="4" t="n">
        <v>0.551</v>
      </c>
      <c r="O8" s="4" t="n">
        <v>0.638</v>
      </c>
    </row>
    <row r="9">
      <c r="A9" t="inlineStr">
        <is>
          <t>Blood Glucose Testing</t>
        </is>
      </c>
      <c r="B9" t="inlineStr">
        <is>
          <t>Ages 12 to 17</t>
        </is>
      </c>
      <c r="C9" t="n">
        <v>2024</v>
      </c>
      <c r="D9" t="inlineStr">
        <is>
          <t>Separate CHIP (Title XXI)</t>
        </is>
      </c>
      <c r="E9" t="inlineStr">
        <is>
          <t>Administrative</t>
        </is>
      </c>
      <c r="F9" t="inlineStr">
        <is>
          <t>Percentage with Two or More Antipsychotic Prescriptions that had Metabolic Testing for Blood Glucose: Ages 12 to 17</t>
        </is>
      </c>
      <c r="G9" t="inlineStr">
        <is>
          <t>Higher values are better</t>
        </is>
      </c>
      <c r="H9" t="inlineStr">
        <is>
          <t>Mathematica analysis of the Quality Measure Reporting (QMR) system reports for the 2024 Core Set as of April 28, 2025.</t>
        </is>
      </c>
      <c r="I9" t="inlineStr">
        <is>
          <t>State-specific comments: Separate CHIP rates include managed care population (12 MCOs). The state described the "other" data sources used to calculate the measure as the following: "Health Plan Billing Data." Rates were audited or validated.</t>
        </is>
      </c>
      <c r="J9" s="4" t="n">
        <v>0.678</v>
      </c>
      <c r="K9" s="4" t="n">
        <v>0.597</v>
      </c>
      <c r="L9" s="4" t="n">
        <v>0.898</v>
      </c>
      <c r="M9" s="4" t="n">
        <v>0.397</v>
      </c>
      <c r="N9" s="4" t="n">
        <v>0.551</v>
      </c>
      <c r="O9" s="4" t="n">
        <v>0.638</v>
      </c>
    </row>
    <row r="10">
      <c r="A10" t="inlineStr">
        <is>
          <t>Blood Glucose Testing</t>
        </is>
      </c>
      <c r="B10" t="inlineStr">
        <is>
          <t>Total (Ages 1 to 17)</t>
        </is>
      </c>
      <c r="C10" t="n">
        <v>2024</v>
      </c>
      <c r="D10" t="inlineStr">
        <is>
          <t>Medicaid (Title XIX), Title XXI-funded Medicaid Expansion CHIP, Separate CHIP (Title XXI)</t>
        </is>
      </c>
      <c r="E10" t="inlineStr">
        <is>
          <t>Administrative</t>
        </is>
      </c>
      <c r="F10" t="inlineStr">
        <is>
          <t>Percentage with Two or More Antipsychotic Prescriptions that had Metabolic Testing for Blood Glucose: Ages 1 to 17</t>
        </is>
      </c>
      <c r="G10" t="inlineStr">
        <is>
          <t>Higher values are better</t>
        </is>
      </c>
      <c r="H10" t="inlineStr">
        <is>
          <t>Mathematica analysis of the Quality Measure Reporting (QMR) system reports for the 2024 Core Set as of April 28, 2025.</t>
        </is>
      </c>
      <c r="I10" t="inlineStr">
        <is>
          <t>State-specific comments: Rate combines the Medicaid and separate CHIP data reported by the state in the QMR system. See Medicaid and separate CHIP state-specific comments for information about the data reported for each population.</t>
        </is>
      </c>
      <c r="J10" s="4" t="n">
        <v>0.596</v>
      </c>
      <c r="K10" s="4" t="n">
        <v>0.546</v>
      </c>
      <c r="L10" s="4" t="n">
        <v>0.851</v>
      </c>
      <c r="M10" s="4" t="n">
        <v>0.351</v>
      </c>
      <c r="N10" s="4" t="n">
        <v>0.504</v>
      </c>
      <c r="O10" s="4" t="n">
        <v>0.596</v>
      </c>
    </row>
    <row r="11">
      <c r="A11" t="inlineStr">
        <is>
          <t>Blood Glucose Testing</t>
        </is>
      </c>
      <c r="B11" t="inlineStr">
        <is>
          <t>Total (Ages 1 to 17)</t>
        </is>
      </c>
      <c r="C11" t="n">
        <v>2024</v>
      </c>
      <c r="D11" t="inlineStr">
        <is>
          <t>Medicaid (Title XIX), Title XXI-funded Medicaid Expansion CHIP</t>
        </is>
      </c>
      <c r="E11" t="inlineStr">
        <is>
          <t>Administrative</t>
        </is>
      </c>
      <c r="F11" t="inlineStr">
        <is>
          <t>Percentage with Two or More Antipsychotic Prescriptions that had Metabolic Testing for Blood Glucose: Ages 1 to 17</t>
        </is>
      </c>
      <c r="G11" t="inlineStr">
        <is>
          <t>Higher values are better</t>
        </is>
      </c>
      <c r="H11" t="inlineStr">
        <is>
          <t>Mathematica analysis of the Quality Measure Reporting (QMR) system reports for the 2024 Core Set as of April 28, 2025.</t>
        </is>
      </c>
      <c r="I11" t="inlineStr">
        <is>
          <t>State-specific comments: Medicaid rates include FFS and managed care populations (15 MCOs). The state described the "other" data sources used to calculate the measure as the following: "Health Plan Billing Data." Rates were audited or validated.</t>
        </is>
      </c>
      <c r="J11" s="4" t="n">
        <v>0.591</v>
      </c>
      <c r="K11" s="4" t="n">
        <v>0.546</v>
      </c>
      <c r="L11" s="4" t="n">
        <v>0.851</v>
      </c>
      <c r="M11" s="4" t="n">
        <v>0.351</v>
      </c>
      <c r="N11" s="4" t="n">
        <v>0.504</v>
      </c>
      <c r="O11" s="4" t="n">
        <v>0.596</v>
      </c>
    </row>
    <row r="12">
      <c r="A12" t="inlineStr">
        <is>
          <t>Blood Glucose Testing</t>
        </is>
      </c>
      <c r="B12" t="inlineStr">
        <is>
          <t>Total (Ages 1 to 17)</t>
        </is>
      </c>
      <c r="C12" t="n">
        <v>2024</v>
      </c>
      <c r="D12" t="inlineStr">
        <is>
          <t>Separate CHIP (Title XXI)</t>
        </is>
      </c>
      <c r="E12" t="inlineStr">
        <is>
          <t>Administrative</t>
        </is>
      </c>
      <c r="F12" t="inlineStr">
        <is>
          <t>Percentage with Two or More Antipsychotic Prescriptions that had Metabolic Testing for Blood Glucose: Ages 1 to 17</t>
        </is>
      </c>
      <c r="G12" t="inlineStr">
        <is>
          <t>Higher values are better</t>
        </is>
      </c>
      <c r="H12" t="inlineStr">
        <is>
          <t>Mathematica analysis of the Quality Measure Reporting (QMR) system reports for the 2024 Core Set as of April 28, 2025.</t>
        </is>
      </c>
      <c r="I12" t="inlineStr">
        <is>
          <t>State-specific comments: Separate CHIP rates include managed care population (12 MCOs). The state described the "other" data sources used to calculate the measure as the following: "Health Plan Billing Data." Rates were audited or validated.</t>
        </is>
      </c>
      <c r="J12" s="4" t="n">
        <v>0.639</v>
      </c>
      <c r="K12" s="4" t="n">
        <v>0.546</v>
      </c>
      <c r="L12" s="4" t="n">
        <v>0.851</v>
      </c>
      <c r="M12" s="4" t="n">
        <v>0.351</v>
      </c>
      <c r="N12" s="4" t="n">
        <v>0.504</v>
      </c>
      <c r="O12" s="4" t="n">
        <v>0.596</v>
      </c>
    </row>
    <row r="13">
      <c r="A13" t="inlineStr">
        <is>
          <t>Blood Glucose Testing</t>
        </is>
      </c>
      <c r="B13" t="inlineStr"/>
      <c r="C13" t="n">
        <v>2021</v>
      </c>
      <c r="D13" t="inlineStr">
        <is>
          <t>Medicaid &amp; CHIP</t>
        </is>
      </c>
      <c r="E13" t="inlineStr">
        <is>
          <t>Administrative</t>
        </is>
      </c>
      <c r="F13" t="inlineStr">
        <is>
          <t>Percentage with Two or More Antipsychotic Prescriptions that had Metabolic Testing for Blood Glucose: Ages 1 to 17</t>
        </is>
      </c>
      <c r="G13" t="inlineStr">
        <is>
          <t>Higher values are better</t>
        </is>
      </c>
      <c r="H13" t="inlineStr">
        <is>
          <t>Mathematica analysis of the Quality Measure Reporting (QMR) system reports for the FFY 2021 reporting cycle as of June 1, 2023.</t>
        </is>
      </c>
      <c r="I13" t="inlineStr">
        <is>
          <t>State-specific comments: Rates include managed care population (16 MCOs). The state described the "other" data sources used to calculate the measure as the following: "Health Plan Billing Data." Rates were audited or validated.</t>
        </is>
      </c>
      <c r="J13" s="4" t="n">
        <v>0.516</v>
      </c>
      <c r="K13" s="4" t="n">
        <v>0.471</v>
      </c>
      <c r="L13" s="4" t="n">
        <v>0.831</v>
      </c>
      <c r="M13" s="4" t="n">
        <v>0.375</v>
      </c>
      <c r="N13" s="4" t="n">
        <v>0.416</v>
      </c>
      <c r="O13" s="4" t="n">
        <v>0.53</v>
      </c>
    </row>
    <row r="14">
      <c r="A14" t="inlineStr">
        <is>
          <t>Blood Glucose Testing</t>
        </is>
      </c>
      <c r="B14" t="inlineStr"/>
      <c r="C14" t="n">
        <v>2022</v>
      </c>
      <c r="D14" t="inlineStr">
        <is>
          <t>Medicaid &amp; CHIP</t>
        </is>
      </c>
      <c r="E14" t="inlineStr">
        <is>
          <t>Administrative</t>
        </is>
      </c>
      <c r="F14" t="inlineStr">
        <is>
          <t>Percentage with Two or More Antipsychotic Prescriptions that had Metabolic Testing for Blood Glucose: Ages 1 to 17</t>
        </is>
      </c>
      <c r="G14" t="inlineStr">
        <is>
          <t>Higher values are better</t>
        </is>
      </c>
      <c r="H14" t="inlineStr">
        <is>
          <t>Mathematica analysis of the Quality Measure Reporting (QMR) system reports for the FFY 2022 reporting cycle as of June 1, 2023.</t>
        </is>
      </c>
      <c r="I14" t="inlineStr">
        <is>
          <t>State-specific comments: Rates include managed care population (16 MCOs). The state described the "other" data sources used to calculate the measure as the following: "Health Plan Billing Data." Rates were audited or validated.</t>
        </is>
      </c>
      <c r="J14" s="4" t="n">
        <v>0.579</v>
      </c>
      <c r="K14" s="4" t="n">
        <v>0.524</v>
      </c>
      <c r="L14" s="4" t="n">
        <v>0.775</v>
      </c>
      <c r="M14" s="4" t="n">
        <v>0.411</v>
      </c>
      <c r="N14" s="4" t="n">
        <v>0.476</v>
      </c>
      <c r="O14" s="4" t="n">
        <v>0.582</v>
      </c>
    </row>
    <row r="15">
      <c r="A15" t="inlineStr">
        <is>
          <t>Blood Glucose Testing</t>
        </is>
      </c>
      <c r="B15" t="inlineStr"/>
      <c r="C15" t="n">
        <v>2023</v>
      </c>
      <c r="D15" t="inlineStr">
        <is>
          <t>Medicaid &amp; CHIP</t>
        </is>
      </c>
      <c r="E15" t="inlineStr">
        <is>
          <t>Administrative</t>
        </is>
      </c>
      <c r="F15" t="inlineStr">
        <is>
          <t>Percentage with Two or More Antipsychotic Prescriptions that had Metabolic Testing for Blood Glucose: Ages 1 to 17</t>
        </is>
      </c>
      <c r="G15" t="inlineStr">
        <is>
          <t>Higher values are better</t>
        </is>
      </c>
      <c r="H15" t="inlineStr">
        <is>
          <t>Mathematica analysis of the Quality Measure Reporting (QMR) system reports for the 2023 Core Set as of May 16, 2024.</t>
        </is>
      </c>
      <c r="I15" t="inlineStr">
        <is>
          <t>State-specific comments: Rates include managed care population (15 MCOs). The state described the "other" data sources used to calculate the measure as the following: "Health Plan Billing Data." Rates were audited or validated.</t>
        </is>
      </c>
      <c r="J15" s="4" t="n">
        <v>0.597</v>
      </c>
      <c r="K15" s="4" t="n">
        <v>0.531</v>
      </c>
      <c r="L15" s="4" t="n">
        <v>0.842</v>
      </c>
      <c r="M15" s="4" t="n">
        <v>0.37</v>
      </c>
      <c r="N15" s="4" t="n">
        <v>0.484</v>
      </c>
      <c r="O15" s="4" t="n">
        <v>0.59</v>
      </c>
    </row>
    <row r="16">
      <c r="A16" t="inlineStr">
        <is>
          <t>Blood Glucose and Cholesterol Testing</t>
        </is>
      </c>
      <c r="B16" t="inlineStr">
        <is>
          <t>Ages 1 to 11</t>
        </is>
      </c>
      <c r="C16" t="n">
        <v>2024</v>
      </c>
      <c r="D16" t="inlineStr">
        <is>
          <t>Medicaid (Title XIX), Title XXI-funded Medicaid Expansion CHIP, Separate CHIP (Title XXI)</t>
        </is>
      </c>
      <c r="E16" t="inlineStr">
        <is>
          <t>Administrative</t>
        </is>
      </c>
      <c r="F16" t="inlineStr">
        <is>
          <t>Percentage with Two or More Antipsychotic Prescriptions that had Metabolic Testing for Blood Glucose and Cholesterol: Ages 1 to 11</t>
        </is>
      </c>
      <c r="G16" t="inlineStr">
        <is>
          <t>Higher values are better</t>
        </is>
      </c>
      <c r="H16" t="inlineStr">
        <is>
          <t>Mathematica analysis of the Quality Measure Reporting (QMR) system reports for the 2024 Core Set as of April 28, 2025.</t>
        </is>
      </c>
      <c r="I16" t="inlineStr">
        <is>
          <t>State-specific comments: Rate combines the Medicaid and separate CHIP data reported by the state in the QMR system. See Medicaid and separate CHIP state-specific comments for information about the data reported for each population.</t>
        </is>
      </c>
      <c r="J16" s="4" t="n">
        <v>0.362</v>
      </c>
      <c r="K16" s="4" t="n">
        <v>0.282</v>
      </c>
      <c r="L16" s="4" t="n">
        <v>0.582</v>
      </c>
      <c r="M16" s="4" t="n">
        <v>0.139</v>
      </c>
      <c r="N16" s="4" t="n">
        <v>0.235</v>
      </c>
      <c r="O16" s="4" t="n">
        <v>0.351</v>
      </c>
    </row>
    <row r="17">
      <c r="A17" t="inlineStr">
        <is>
          <t>Blood Glucose and Cholesterol Testing</t>
        </is>
      </c>
      <c r="B17" t="inlineStr">
        <is>
          <t>Ages 1 to 11</t>
        </is>
      </c>
      <c r="C17" t="n">
        <v>2024</v>
      </c>
      <c r="D17" t="inlineStr">
        <is>
          <t>Medicaid (Title XIX), Title XXI-funded Medicaid Expansion CHIP</t>
        </is>
      </c>
      <c r="E17" t="inlineStr">
        <is>
          <t>Administrative</t>
        </is>
      </c>
      <c r="F17" t="inlineStr">
        <is>
          <t>Percentage with Two or More Antipsychotic Prescriptions that had Metabolic Testing for Blood Glucose and Cholesterol: Ages 1 to 11</t>
        </is>
      </c>
      <c r="G17" t="inlineStr">
        <is>
          <t>Higher values are better</t>
        </is>
      </c>
      <c r="H17" t="inlineStr">
        <is>
          <t>Mathematica analysis of the Quality Measure Reporting (QMR) system reports for the 2024 Core Set as of April 28, 2025.</t>
        </is>
      </c>
      <c r="I17" t="inlineStr">
        <is>
          <t>State-specific comments: Medicaid rates include FFS and managed care populations (15 MCOs). The state described the "other" data sources used to calculate the measure as the following: "Health Plan Billing Data." Rates were audited or validated.</t>
        </is>
      </c>
      <c r="J17" s="4" t="n">
        <v>0.362</v>
      </c>
      <c r="K17" s="4" t="n">
        <v>0.282</v>
      </c>
      <c r="L17" s="4" t="n">
        <v>0.582</v>
      </c>
      <c r="M17" s="4" t="n">
        <v>0.139</v>
      </c>
      <c r="N17" s="4" t="n">
        <v>0.235</v>
      </c>
      <c r="O17" s="4" t="n">
        <v>0.351</v>
      </c>
    </row>
    <row r="18">
      <c r="A18" t="inlineStr">
        <is>
          <t>Blood Glucose and Cholesterol Testing</t>
        </is>
      </c>
      <c r="B18" t="inlineStr">
        <is>
          <t>Ages 1 to 11</t>
        </is>
      </c>
      <c r="C18" t="n">
        <v>2024</v>
      </c>
      <c r="D18" t="inlineStr">
        <is>
          <t>Separate CHIP (Title XXI)</t>
        </is>
      </c>
      <c r="E18" t="inlineStr">
        <is>
          <t>Administrative</t>
        </is>
      </c>
      <c r="F18" t="inlineStr">
        <is>
          <t>Percentage with Two or More Antipsychotic Prescriptions that had Metabolic Testing for Blood Glucose and Cholesterol: Ages 1 to 11</t>
        </is>
      </c>
      <c r="G18" t="inlineStr">
        <is>
          <t>Higher values are better</t>
        </is>
      </c>
      <c r="H18" t="inlineStr">
        <is>
          <t>Mathematica analysis of the Quality Measure Reporting (QMR) system reports for the 2024 Core Set as of April 28, 2025.</t>
        </is>
      </c>
      <c r="I18" t="inlineStr">
        <is>
          <t>State-specific comments: Separate CHIP rates include managed care population (12 MCOs). The state described the "other" data sources used to calculate the measure as the following: "Health Plan Billing Data." Rates were audited or validated.</t>
        </is>
      </c>
      <c r="J18" s="4" t="n">
        <v>0.364</v>
      </c>
      <c r="K18" s="4" t="n">
        <v>0.282</v>
      </c>
      <c r="L18" s="4" t="n">
        <v>0.582</v>
      </c>
      <c r="M18" s="4" t="n">
        <v>0.139</v>
      </c>
      <c r="N18" s="4" t="n">
        <v>0.235</v>
      </c>
      <c r="O18" s="4" t="n">
        <v>0.351</v>
      </c>
    </row>
    <row r="19">
      <c r="A19" t="inlineStr">
        <is>
          <t>Blood Glucose and Cholesterol Testing</t>
        </is>
      </c>
      <c r="B19" t="inlineStr">
        <is>
          <t>Ages 12 to 17</t>
        </is>
      </c>
      <c r="C19" t="n">
        <v>2024</v>
      </c>
      <c r="D19" t="inlineStr">
        <is>
          <t>Medicaid (Title XIX), Title XXI-funded Medicaid Expansion CHIP, Separate CHIP (Title XXI)</t>
        </is>
      </c>
      <c r="E19" t="inlineStr">
        <is>
          <t>Administrative</t>
        </is>
      </c>
      <c r="F19" t="inlineStr">
        <is>
          <t>Percentage with Two or More Antipsychotic Prescriptions that had Metabolic Testing for Blood Glucose and Cholesterol: Ages 12 to 17</t>
        </is>
      </c>
      <c r="G19" t="inlineStr">
        <is>
          <t>Higher values are better</t>
        </is>
      </c>
      <c r="H19" t="inlineStr">
        <is>
          <t>Mathematica analysis of the Quality Measure Reporting (QMR) system reports for the 2024 Core Set as of April 28, 2025.</t>
        </is>
      </c>
      <c r="I19" t="inlineStr">
        <is>
          <t>State-specific comments: Rate combines the Medicaid and separate CHIP data reported by the state in the QMR system. See Medicaid and separate CHIP state-specific comments for information about the data reported for each population.</t>
        </is>
      </c>
      <c r="J19" s="4" t="n">
        <v>0.439</v>
      </c>
      <c r="K19" s="4" t="n">
        <v>0.373</v>
      </c>
      <c r="L19" s="4" t="n">
        <v>0.582</v>
      </c>
      <c r="M19" s="4" t="n">
        <v>0.206</v>
      </c>
      <c r="N19" s="4" t="n">
        <v>0.305</v>
      </c>
      <c r="O19" s="4" t="n">
        <v>0.439</v>
      </c>
    </row>
    <row r="20">
      <c r="A20" t="inlineStr">
        <is>
          <t>Blood Glucose and Cholesterol Testing</t>
        </is>
      </c>
      <c r="B20" t="inlineStr">
        <is>
          <t>Ages 12 to 17</t>
        </is>
      </c>
      <c r="C20" t="n">
        <v>2024</v>
      </c>
      <c r="D20" t="inlineStr">
        <is>
          <t>Medicaid (Title XIX), Title XXI-funded Medicaid Expansion CHIP</t>
        </is>
      </c>
      <c r="E20" t="inlineStr">
        <is>
          <t>Administrative</t>
        </is>
      </c>
      <c r="F20" t="inlineStr">
        <is>
          <t>Percentage with Two or More Antipsychotic Prescriptions that had Metabolic Testing for Blood Glucose and Cholesterol: Ages 12 to 17</t>
        </is>
      </c>
      <c r="G20" t="inlineStr">
        <is>
          <t>Higher values are better</t>
        </is>
      </c>
      <c r="H20" t="inlineStr">
        <is>
          <t>Mathematica analysis of the Quality Measure Reporting (QMR) system reports for the 2024 Core Set as of April 28, 2025.</t>
        </is>
      </c>
      <c r="I20" t="inlineStr">
        <is>
          <t>State-specific comments: Medicaid rates include FFS and managed care populations (15 MCOs). The state described the "other" data sources used to calculate the measure as the following: "Health Plan Billing Data." Rates were audited or validated.</t>
        </is>
      </c>
      <c r="J20" s="4" t="n">
        <v>0.435</v>
      </c>
      <c r="K20" s="4" t="n">
        <v>0.373</v>
      </c>
      <c r="L20" s="4" t="n">
        <v>0.582</v>
      </c>
      <c r="M20" s="4" t="n">
        <v>0.206</v>
      </c>
      <c r="N20" s="4" t="n">
        <v>0.305</v>
      </c>
      <c r="O20" s="4" t="n">
        <v>0.439</v>
      </c>
    </row>
    <row r="21">
      <c r="A21" t="inlineStr">
        <is>
          <t>Blood Glucose and Cholesterol Testing</t>
        </is>
      </c>
      <c r="B21" t="inlineStr">
        <is>
          <t>Ages 12 to 17</t>
        </is>
      </c>
      <c r="C21" t="n">
        <v>2024</v>
      </c>
      <c r="D21" t="inlineStr">
        <is>
          <t>Separate CHIP (Title XXI)</t>
        </is>
      </c>
      <c r="E21" t="inlineStr">
        <is>
          <t>Administrative</t>
        </is>
      </c>
      <c r="F21" t="inlineStr">
        <is>
          <t>Percentage with Two or More Antipsychotic Prescriptions that had Metabolic Testing for Blood Glucose and Cholesterol: Ages 12 to 17</t>
        </is>
      </c>
      <c r="G21" t="inlineStr">
        <is>
          <t>Higher values are better</t>
        </is>
      </c>
      <c r="H21" t="inlineStr">
        <is>
          <t>Mathematica analysis of the Quality Measure Reporting (QMR) system reports for the 2024 Core Set as of April 28, 2025.</t>
        </is>
      </c>
      <c r="I21" t="inlineStr">
        <is>
          <t>State-specific comments: Separate CHIP rates include managed care population (12 MCOs). The state described the "other" data sources used to calculate the measure as the following: "Health Plan Billing Data." Rates were audited or validated.</t>
        </is>
      </c>
      <c r="J21" s="4" t="n">
        <v>0.468</v>
      </c>
      <c r="K21" s="4" t="n">
        <v>0.373</v>
      </c>
      <c r="L21" s="4" t="n">
        <v>0.582</v>
      </c>
      <c r="M21" s="4" t="n">
        <v>0.206</v>
      </c>
      <c r="N21" s="4" t="n">
        <v>0.305</v>
      </c>
      <c r="O21" s="4" t="n">
        <v>0.439</v>
      </c>
    </row>
    <row r="22">
      <c r="A22" t="inlineStr">
        <is>
          <t>Blood Glucose and Cholesterol Testing</t>
        </is>
      </c>
      <c r="B22" t="inlineStr">
        <is>
          <t>Total (Ages 1 to 17)</t>
        </is>
      </c>
      <c r="C22" t="n">
        <v>2024</v>
      </c>
      <c r="D22" t="inlineStr">
        <is>
          <t>Medicaid (Title XIX), Title XXI-funded Medicaid Expansion CHIP, Separate CHIP (Title XXI)</t>
        </is>
      </c>
      <c r="E22" t="inlineStr">
        <is>
          <t>Administrative</t>
        </is>
      </c>
      <c r="F22" t="inlineStr">
        <is>
          <t>Percentage with Two or More Antipsychotic Prescriptions that had Metabolic Testing for Blood Glucose and Cholesterol: Ages 1 to 17</t>
        </is>
      </c>
      <c r="G22" t="inlineStr">
        <is>
          <t>Higher values are better</t>
        </is>
      </c>
      <c r="H22" t="inlineStr">
        <is>
          <t>Mathematica analysis of the Quality Measure Reporting (QMR) system reports for the 2024 Core Set as of April 28, 2025.</t>
        </is>
      </c>
      <c r="I22" t="inlineStr">
        <is>
          <t>State-specific comments: Rate combines the Medicaid and separate CHIP data reported by the state in the QMR system. See Medicaid and separate CHIP state-specific comments for information about the data reported for each population.</t>
        </is>
      </c>
      <c r="J22" s="4" t="n">
        <v>0.415</v>
      </c>
      <c r="K22" s="4" t="n">
        <v>0.352</v>
      </c>
      <c r="L22" s="4" t="n">
        <v>0.581</v>
      </c>
      <c r="M22" s="4" t="n">
        <v>0.189</v>
      </c>
      <c r="N22" s="4" t="n">
        <v>0.29</v>
      </c>
      <c r="O22" s="4" t="n">
        <v>0.415</v>
      </c>
    </row>
    <row r="23">
      <c r="A23" t="inlineStr">
        <is>
          <t>Blood Glucose and Cholesterol Testing</t>
        </is>
      </c>
      <c r="B23" t="inlineStr">
        <is>
          <t>Total (Ages 1 to 17)</t>
        </is>
      </c>
      <c r="C23" t="n">
        <v>2024</v>
      </c>
      <c r="D23" t="inlineStr">
        <is>
          <t>Medicaid (Title XIX), Title XXI-funded Medicaid Expansion CHIP</t>
        </is>
      </c>
      <c r="E23" t="inlineStr">
        <is>
          <t>Administrative</t>
        </is>
      </c>
      <c r="F23" t="inlineStr">
        <is>
          <t>Percentage with Two or More Antipsychotic Prescriptions that had Metabolic Testing for Blood Glucose and Cholesterol: Ages 1 to 17</t>
        </is>
      </c>
      <c r="G23" t="inlineStr">
        <is>
          <t>Higher values are better</t>
        </is>
      </c>
      <c r="H23" t="inlineStr">
        <is>
          <t>Mathematica analysis of the Quality Measure Reporting (QMR) system reports for the 2024 Core Set as of April 28, 2025.</t>
        </is>
      </c>
      <c r="I23" t="inlineStr">
        <is>
          <t>State-specific comments: Medicaid rates include FFS and managed care populations (15 MCOs). The state described the "other" data sources used to calculate the measure as the following: "Health Plan Billing Data." Rates were audited or validated.</t>
        </is>
      </c>
      <c r="J23" s="4" t="n">
        <v>0.412</v>
      </c>
      <c r="K23" s="4" t="n">
        <v>0.352</v>
      </c>
      <c r="L23" s="4" t="n">
        <v>0.581</v>
      </c>
      <c r="M23" s="4" t="n">
        <v>0.189</v>
      </c>
      <c r="N23" s="4" t="n">
        <v>0.29</v>
      </c>
      <c r="O23" s="4" t="n">
        <v>0.415</v>
      </c>
    </row>
    <row r="24">
      <c r="A24" t="inlineStr">
        <is>
          <t>Blood Glucose and Cholesterol Testing</t>
        </is>
      </c>
      <c r="B24" t="inlineStr">
        <is>
          <t>Total (Ages 1 to 17)</t>
        </is>
      </c>
      <c r="C24" t="n">
        <v>2024</v>
      </c>
      <c r="D24" t="inlineStr">
        <is>
          <t>Separate CHIP (Title XXI)</t>
        </is>
      </c>
      <c r="E24" t="inlineStr">
        <is>
          <t>Administrative</t>
        </is>
      </c>
      <c r="F24" t="inlineStr">
        <is>
          <t>Percentage with Two or More Antipsychotic Prescriptions that had Metabolic Testing for Blood Glucose and Cholesterol: Ages 1 to 17</t>
        </is>
      </c>
      <c r="G24" t="inlineStr">
        <is>
          <t>Higher values are better</t>
        </is>
      </c>
      <c r="H24" t="inlineStr">
        <is>
          <t>Mathematica analysis of the Quality Measure Reporting (QMR) system reports for the 2024 Core Set as of April 28, 2025.</t>
        </is>
      </c>
      <c r="I24" t="inlineStr">
        <is>
          <t>State-specific comments: Separate CHIP rates include managed care population (12 MCOs). The state described the "other" data sources used to calculate the measure as the following: "Health Plan Billing Data." Rates were audited or validated.</t>
        </is>
      </c>
      <c r="J24" s="4" t="n">
        <v>0.443</v>
      </c>
      <c r="K24" s="4" t="n">
        <v>0.352</v>
      </c>
      <c r="L24" s="4" t="n">
        <v>0.581</v>
      </c>
      <c r="M24" s="4" t="n">
        <v>0.189</v>
      </c>
      <c r="N24" s="4" t="n">
        <v>0.29</v>
      </c>
      <c r="O24" s="4" t="n">
        <v>0.415</v>
      </c>
    </row>
    <row r="25">
      <c r="A25" t="inlineStr">
        <is>
          <t>Blood Glucose and Cholesterol Testing</t>
        </is>
      </c>
      <c r="B25" t="inlineStr"/>
      <c r="C25" t="n">
        <v>2021</v>
      </c>
      <c r="D25" t="inlineStr">
        <is>
          <t>Medicaid &amp; CHIP</t>
        </is>
      </c>
      <c r="E25" t="inlineStr">
        <is>
          <t>Administrative</t>
        </is>
      </c>
      <c r="F25" t="inlineStr">
        <is>
          <t>Percentage with Two or More Antipsychotic Prescriptions that had Metabolic Testing for Blood Glucose and Cholesterol: Ages 1 to 17</t>
        </is>
      </c>
      <c r="G25" t="inlineStr">
        <is>
          <t>Higher values are better</t>
        </is>
      </c>
      <c r="H25" t="inlineStr">
        <is>
          <t>Mathematica analysis of the Quality Measure Reporting (QMR) system reports for the FFY 2021 reporting cycle as of June 1, 2023.</t>
        </is>
      </c>
      <c r="I25" t="inlineStr">
        <is>
          <t>State-specific comments: Rates include managed care population (16 MCOs). The state described the "other" data sources used to calculate the measure as the following: "Health Plan Billing Data." Rates were audited or validated.</t>
        </is>
      </c>
      <c r="J25" s="4" t="n">
        <v>0.343</v>
      </c>
      <c r="K25" s="4" t="n">
        <v>0.303</v>
      </c>
      <c r="L25" s="4" t="n">
        <v>0.59</v>
      </c>
      <c r="M25" s="4" t="n">
        <v>0.174</v>
      </c>
      <c r="N25" s="4" t="n">
        <v>0.253</v>
      </c>
      <c r="O25" s="4" t="n">
        <v>0.365</v>
      </c>
    </row>
    <row r="26">
      <c r="A26" t="inlineStr">
        <is>
          <t>Blood Glucose and Cholesterol Testing</t>
        </is>
      </c>
      <c r="B26" t="inlineStr"/>
      <c r="C26" t="n">
        <v>2022</v>
      </c>
      <c r="D26" t="inlineStr">
        <is>
          <t>Medicaid &amp; CHIP</t>
        </is>
      </c>
      <c r="E26" t="inlineStr">
        <is>
          <t>Administrative</t>
        </is>
      </c>
      <c r="F26" t="inlineStr">
        <is>
          <t>Percentage with Two or More Antipsychotic Prescriptions that had Metabolic Testing for Blood Glucose and Cholesterol: Ages 1 to 17</t>
        </is>
      </c>
      <c r="G26" t="inlineStr">
        <is>
          <t>Higher values are better</t>
        </is>
      </c>
      <c r="H26" t="inlineStr">
        <is>
          <t>Mathematica analysis of the Quality Measure Reporting (QMR) system reports for the FFY 2022 reporting cycle as of June 1, 2023.</t>
        </is>
      </c>
      <c r="I26" t="inlineStr">
        <is>
          <t>State-specific comments: Rates include managed care population (16 MCOs). The state described the "other" data sources used to calculate the measure as the following: "Health Plan Billing Data." Rates were audited or validated.</t>
        </is>
      </c>
      <c r="J26" s="4" t="n">
        <v>0.394</v>
      </c>
      <c r="K26" s="4" t="n">
        <v>0.332</v>
      </c>
      <c r="L26" s="4" t="n">
        <v>0.635</v>
      </c>
      <c r="M26" s="4" t="n">
        <v>0.165</v>
      </c>
      <c r="N26" s="4" t="n">
        <v>0.273</v>
      </c>
      <c r="O26" s="4" t="n">
        <v>0.415</v>
      </c>
    </row>
    <row r="27">
      <c r="A27" t="inlineStr">
        <is>
          <t>Blood Glucose and Cholesterol Testing</t>
        </is>
      </c>
      <c r="B27" t="inlineStr"/>
      <c r="C27" t="n">
        <v>2023</v>
      </c>
      <c r="D27" t="inlineStr">
        <is>
          <t>Medicaid &amp; CHIP</t>
        </is>
      </c>
      <c r="E27" t="inlineStr">
        <is>
          <t>Administrative</t>
        </is>
      </c>
      <c r="F27" t="inlineStr">
        <is>
          <t>Percentage with Two or More Antipsychotic Prescriptions that had Metabolic Testing for Blood Glucose and Cholesterol: Ages 1 to 17</t>
        </is>
      </c>
      <c r="G27" t="inlineStr">
        <is>
          <t>Higher values are better</t>
        </is>
      </c>
      <c r="H27" t="inlineStr">
        <is>
          <t>Mathematica analysis of the Quality Measure Reporting (QMR) system reports for the 2023 Core Set as of May 16, 2024.</t>
        </is>
      </c>
      <c r="I27" t="inlineStr">
        <is>
          <t>State-specific comments: Rates include managed care population (15 MCOs). The state described the "other" data sources used to calculate the measure as the following: "Health Plan Billing Data." Rates were audited or validated.</t>
        </is>
      </c>
      <c r="J27" s="4" t="n">
        <v>0.416</v>
      </c>
      <c r="K27" s="4" t="n">
        <v>0.323</v>
      </c>
      <c r="L27" s="4" t="n">
        <v>0.666</v>
      </c>
      <c r="M27" s="4" t="n">
        <v>0.193</v>
      </c>
      <c r="N27" s="4" t="n">
        <v>0.267</v>
      </c>
      <c r="O27" s="4" t="n">
        <v>0.416</v>
      </c>
    </row>
    <row r="28">
      <c r="A28" t="inlineStr">
        <is>
          <t>Cholesterol Testing</t>
        </is>
      </c>
      <c r="B28" t="inlineStr">
        <is>
          <t>Ages 1 to 11</t>
        </is>
      </c>
      <c r="C28" t="n">
        <v>2024</v>
      </c>
      <c r="D28" t="inlineStr">
        <is>
          <t>Medicaid (Title XIX), Title XXI-funded Medicaid Expansion CHIP, Separate CHIP (Title XXI)</t>
        </is>
      </c>
      <c r="E28" t="inlineStr">
        <is>
          <t>Administrative</t>
        </is>
      </c>
      <c r="F28" t="inlineStr">
        <is>
          <t>Percentage with Two or More Antipsychotic Prescriptions that had Metabolic Testing for Cholesterol: Ages 1 to 11</t>
        </is>
      </c>
      <c r="G28" t="inlineStr">
        <is>
          <t>Higher values are better</t>
        </is>
      </c>
      <c r="H28" t="inlineStr">
        <is>
          <t>Mathematica analysis of the Quality Measure Reporting (QMR) system reports for the 2024 Core Set as of April 28, 2025.</t>
        </is>
      </c>
      <c r="I28" t="inlineStr">
        <is>
          <t>State-specific comments: Rate combines the Medicaid and separate CHIP data reported by the state in the QMR system. See Medicaid and separate CHIP state-specific comments for information about the data reported for each population.</t>
        </is>
      </c>
      <c r="J28" s="4" t="n">
        <v>0.379</v>
      </c>
      <c r="K28" s="4" t="n">
        <v>0.301</v>
      </c>
      <c r="L28" s="4" t="n">
        <v>0.6</v>
      </c>
      <c r="M28" s="4" t="n">
        <v>0.154</v>
      </c>
      <c r="N28" s="4" t="n">
        <v>0.247</v>
      </c>
      <c r="O28" s="4" t="n">
        <v>0.357</v>
      </c>
    </row>
    <row r="29">
      <c r="A29" t="inlineStr">
        <is>
          <t>Cholesterol Testing</t>
        </is>
      </c>
      <c r="B29" t="inlineStr">
        <is>
          <t>Ages 1 to 11</t>
        </is>
      </c>
      <c r="C29" t="n">
        <v>2024</v>
      </c>
      <c r="D29" t="inlineStr">
        <is>
          <t>Medicaid (Title XIX), Title XXI-funded Medicaid Expansion CHIP</t>
        </is>
      </c>
      <c r="E29" t="inlineStr">
        <is>
          <t>Administrative</t>
        </is>
      </c>
      <c r="F29" t="inlineStr">
        <is>
          <t>Percentage with Two or More Antipsychotic Prescriptions that had Metabolic Testing for Cholesterol: Ages 1 to 11</t>
        </is>
      </c>
      <c r="G29" t="inlineStr">
        <is>
          <t>Higher values are better</t>
        </is>
      </c>
      <c r="H29" t="inlineStr">
        <is>
          <t>Mathematica analysis of the Quality Measure Reporting (QMR) system reports for the 2024 Core Set as of April 28, 2025.</t>
        </is>
      </c>
      <c r="I29" t="inlineStr">
        <is>
          <t>State-specific comments: Medicaid rates include FFS and managed care populations (15 MCOs). The state described the "other" data sources used to calculate the measure as the following: "Health Plan Billing Data." Rates were audited or validated.</t>
        </is>
      </c>
      <c r="J29" s="4" t="n">
        <v>0.379</v>
      </c>
      <c r="K29" s="4" t="n">
        <v>0.301</v>
      </c>
      <c r="L29" s="4" t="n">
        <v>0.6</v>
      </c>
      <c r="M29" s="4" t="n">
        <v>0.154</v>
      </c>
      <c r="N29" s="4" t="n">
        <v>0.247</v>
      </c>
      <c r="O29" s="4" t="n">
        <v>0.357</v>
      </c>
    </row>
    <row r="30">
      <c r="A30" t="inlineStr">
        <is>
          <t>Cholesterol Testing</t>
        </is>
      </c>
      <c r="B30" t="inlineStr">
        <is>
          <t>Ages 1 to 11</t>
        </is>
      </c>
      <c r="C30" t="n">
        <v>2024</v>
      </c>
      <c r="D30" t="inlineStr">
        <is>
          <t>Separate CHIP (Title XXI)</t>
        </is>
      </c>
      <c r="E30" t="inlineStr">
        <is>
          <t>Administrative</t>
        </is>
      </c>
      <c r="F30" t="inlineStr">
        <is>
          <t>Percentage with Two or More Antipsychotic Prescriptions that had Metabolic Testing for Cholesterol: Ages 1 to 11</t>
        </is>
      </c>
      <c r="G30" t="inlineStr">
        <is>
          <t>Higher values are better</t>
        </is>
      </c>
      <c r="H30" t="inlineStr">
        <is>
          <t>Mathematica analysis of the Quality Measure Reporting (QMR) system reports for the 2024 Core Set as of April 28, 2025.</t>
        </is>
      </c>
      <c r="I30" t="inlineStr">
        <is>
          <t>State-specific comments: Separate CHIP rates include managed care population (12 MCOs). The state described the "other" data sources used to calculate the measure as the following: "Health Plan Billing Data." Rates were audited or validated.</t>
        </is>
      </c>
      <c r="J30" s="4" t="n">
        <v>0.382</v>
      </c>
      <c r="K30" s="4" t="n">
        <v>0.301</v>
      </c>
      <c r="L30" s="4" t="n">
        <v>0.6</v>
      </c>
      <c r="M30" s="4" t="n">
        <v>0.154</v>
      </c>
      <c r="N30" s="4" t="n">
        <v>0.247</v>
      </c>
      <c r="O30" s="4" t="n">
        <v>0.357</v>
      </c>
    </row>
    <row r="31">
      <c r="A31" t="inlineStr">
        <is>
          <t>Cholesterol Testing</t>
        </is>
      </c>
      <c r="B31" t="inlineStr">
        <is>
          <t>Ages 12 to 17</t>
        </is>
      </c>
      <c r="C31" t="n">
        <v>2024</v>
      </c>
      <c r="D31" t="inlineStr">
        <is>
          <t>Medicaid (Title XIX), Title XXI-funded Medicaid Expansion CHIP, Separate CHIP (Title XXI)</t>
        </is>
      </c>
      <c r="E31" t="inlineStr">
        <is>
          <t>Administrative</t>
        </is>
      </c>
      <c r="F31" t="inlineStr">
        <is>
          <t>Percentage with Two or More Antipsychotic Prescriptions that had Metabolic Testing for Cholesterol: Ages 12 to 17</t>
        </is>
      </c>
      <c r="G31" t="inlineStr">
        <is>
          <t>Higher values are better</t>
        </is>
      </c>
      <c r="H31" t="inlineStr">
        <is>
          <t>Mathematica analysis of the Quality Measure Reporting (QMR) system reports for the 2024 Core Set as of April 28, 2025.</t>
        </is>
      </c>
      <c r="I31" t="inlineStr">
        <is>
          <t>State-specific comments: Rate combines the Medicaid and separate CHIP data reported by the state in the QMR system. See Medicaid and separate CHIP state-specific comments for information about the data reported for each population.</t>
        </is>
      </c>
      <c r="J31" s="4" t="n">
        <v>0.451</v>
      </c>
      <c r="K31" s="4" t="n">
        <v>0.39</v>
      </c>
      <c r="L31" s="4" t="n">
        <v>0.6</v>
      </c>
      <c r="M31" s="4" t="n">
        <v>0.213</v>
      </c>
      <c r="N31" s="4" t="n">
        <v>0.316</v>
      </c>
      <c r="O31" s="4" t="n">
        <v>0.453</v>
      </c>
    </row>
    <row r="32">
      <c r="A32" t="inlineStr">
        <is>
          <t>Cholesterol Testing</t>
        </is>
      </c>
      <c r="B32" t="inlineStr">
        <is>
          <t>Ages 12 to 17</t>
        </is>
      </c>
      <c r="C32" t="n">
        <v>2024</v>
      </c>
      <c r="D32" t="inlineStr">
        <is>
          <t>Medicaid (Title XIX), Title XXI-funded Medicaid Expansion CHIP</t>
        </is>
      </c>
      <c r="E32" t="inlineStr">
        <is>
          <t>Administrative</t>
        </is>
      </c>
      <c r="F32" t="inlineStr">
        <is>
          <t>Percentage with Two or More Antipsychotic Prescriptions that had Metabolic Testing for Cholesterol: Ages 12 to 17</t>
        </is>
      </c>
      <c r="G32" t="inlineStr">
        <is>
          <t>Higher values are better</t>
        </is>
      </c>
      <c r="H32" t="inlineStr">
        <is>
          <t>Mathematica analysis of the Quality Measure Reporting (QMR) system reports for the 2024 Core Set as of April 28, 2025.</t>
        </is>
      </c>
      <c r="I32" t="inlineStr">
        <is>
          <t>State-specific comments: Medicaid rates include FFS and managed care populations (15 MCOs). The state described the "other" data sources used to calculate the measure as the following: "Health Plan Billing Data." Rates were audited or validated.</t>
        </is>
      </c>
      <c r="J32" s="4" t="n">
        <v>0.447</v>
      </c>
      <c r="K32" s="4" t="n">
        <v>0.39</v>
      </c>
      <c r="L32" s="4" t="n">
        <v>0.6</v>
      </c>
      <c r="M32" s="4" t="n">
        <v>0.213</v>
      </c>
      <c r="N32" s="4" t="n">
        <v>0.316</v>
      </c>
      <c r="O32" s="4" t="n">
        <v>0.453</v>
      </c>
    </row>
    <row r="33">
      <c r="A33" t="inlineStr">
        <is>
          <t>Cholesterol Testing</t>
        </is>
      </c>
      <c r="B33" t="inlineStr">
        <is>
          <t>Ages 12 to 17</t>
        </is>
      </c>
      <c r="C33" t="n">
        <v>2024</v>
      </c>
      <c r="D33" t="inlineStr">
        <is>
          <t>Separate CHIP (Title XXI)</t>
        </is>
      </c>
      <c r="E33" t="inlineStr">
        <is>
          <t>Administrative</t>
        </is>
      </c>
      <c r="F33" t="inlineStr">
        <is>
          <t>Percentage with Two or More Antipsychotic Prescriptions that had Metabolic Testing for Cholesterol: Ages 12 to 17</t>
        </is>
      </c>
      <c r="G33" t="inlineStr">
        <is>
          <t>Higher values are better</t>
        </is>
      </c>
      <c r="H33" t="inlineStr">
        <is>
          <t>Mathematica analysis of the Quality Measure Reporting (QMR) system reports for the 2024 Core Set as of April 28, 2025.</t>
        </is>
      </c>
      <c r="I33" t="inlineStr">
        <is>
          <t>State-specific comments: Separate CHIP rates include managed care population (12 MCOs). The state described the "other" data sources used to calculate the measure as the following: "Health Plan Billing Data." Rates were audited or validated.</t>
        </is>
      </c>
      <c r="J33" s="4" t="n">
        <v>0.481</v>
      </c>
      <c r="K33" s="4" t="n">
        <v>0.39</v>
      </c>
      <c r="L33" s="4" t="n">
        <v>0.6</v>
      </c>
      <c r="M33" s="4" t="n">
        <v>0.213</v>
      </c>
      <c r="N33" s="4" t="n">
        <v>0.316</v>
      </c>
      <c r="O33" s="4" t="n">
        <v>0.453</v>
      </c>
    </row>
    <row r="34">
      <c r="A34" t="inlineStr">
        <is>
          <t>Cholesterol Testing</t>
        </is>
      </c>
      <c r="B34" t="inlineStr">
        <is>
          <t>Total (Ages 1 to 17)</t>
        </is>
      </c>
      <c r="C34" t="n">
        <v>2024</v>
      </c>
      <c r="D34" t="inlineStr">
        <is>
          <t>Medicaid (Title XIX), Title XXI-funded Medicaid Expansion CHIP, Separate CHIP (Title XXI)</t>
        </is>
      </c>
      <c r="E34" t="inlineStr">
        <is>
          <t>Administrative</t>
        </is>
      </c>
      <c r="F34" t="inlineStr">
        <is>
          <t>Percentage with Two or More Antipsychotic Prescriptions that had Metabolic Testing for Cholesterol: Ages 1 to 17</t>
        </is>
      </c>
      <c r="G34" t="inlineStr">
        <is>
          <t>Higher values are better</t>
        </is>
      </c>
      <c r="H34" t="inlineStr">
        <is>
          <t>Mathematica analysis of the Quality Measure Reporting (QMR) system reports for the 2024 Core Set as of April 28, 2025.</t>
        </is>
      </c>
      <c r="I34" t="inlineStr">
        <is>
          <t>State-specific comments: Rate combines the Medicaid and separate CHIP data reported by the state in the QMR system. See Medicaid and separate CHIP state-specific comments for information about the data reported for each population.</t>
        </is>
      </c>
      <c r="J34" s="4" t="n">
        <v>0.429</v>
      </c>
      <c r="K34" s="4" t="n">
        <v>0.367</v>
      </c>
      <c r="L34" s="4" t="n">
        <v>0.6</v>
      </c>
      <c r="M34" s="4" t="n">
        <v>0.197</v>
      </c>
      <c r="N34" s="4" t="n">
        <v>0.304</v>
      </c>
      <c r="O34" s="4" t="n">
        <v>0.432</v>
      </c>
    </row>
    <row r="35">
      <c r="A35" t="inlineStr">
        <is>
          <t>Cholesterol Testing</t>
        </is>
      </c>
      <c r="B35" t="inlineStr">
        <is>
          <t>Total (Ages 1 to 17)</t>
        </is>
      </c>
      <c r="C35" t="n">
        <v>2024</v>
      </c>
      <c r="D35" t="inlineStr">
        <is>
          <t>Medicaid (Title XIX), Title XXI-funded Medicaid Expansion CHIP</t>
        </is>
      </c>
      <c r="E35" t="inlineStr">
        <is>
          <t>Administrative</t>
        </is>
      </c>
      <c r="F35" t="inlineStr">
        <is>
          <t>Percentage with Two or More Antipsychotic Prescriptions that had Metabolic Testing for Cholesterol: Ages 1 to 17</t>
        </is>
      </c>
      <c r="G35" t="inlineStr">
        <is>
          <t>Higher values are better</t>
        </is>
      </c>
      <c r="H35" t="inlineStr">
        <is>
          <t>Mathematica analysis of the Quality Measure Reporting (QMR) system reports for the 2024 Core Set as of April 28, 2025.</t>
        </is>
      </c>
      <c r="I35" t="inlineStr">
        <is>
          <t>State-specific comments: Medicaid rates include FFS and managed care populations (15 MCOs). The state described the "other" data sources used to calculate the measure as the following: "Health Plan Billing Data." Rates were audited or validated.</t>
        </is>
      </c>
      <c r="J35" s="4" t="n">
        <v>0.426</v>
      </c>
      <c r="K35" s="4" t="n">
        <v>0.367</v>
      </c>
      <c r="L35" s="4" t="n">
        <v>0.6</v>
      </c>
      <c r="M35" s="4" t="n">
        <v>0.197</v>
      </c>
      <c r="N35" s="4" t="n">
        <v>0.304</v>
      </c>
      <c r="O35" s="4" t="n">
        <v>0.432</v>
      </c>
    </row>
    <row r="36">
      <c r="A36" t="inlineStr">
        <is>
          <t>Cholesterol Testing</t>
        </is>
      </c>
      <c r="B36" t="inlineStr">
        <is>
          <t>Total (Ages 1 to 17)</t>
        </is>
      </c>
      <c r="C36" t="n">
        <v>2024</v>
      </c>
      <c r="D36" t="inlineStr">
        <is>
          <t>Separate CHIP (Title XXI)</t>
        </is>
      </c>
      <c r="E36" t="inlineStr">
        <is>
          <t>Administrative</t>
        </is>
      </c>
      <c r="F36" t="inlineStr">
        <is>
          <t>Percentage with Two or More Antipsychotic Prescriptions that had Metabolic Testing for Cholesterol: Ages 1 to 17</t>
        </is>
      </c>
      <c r="G36" t="inlineStr">
        <is>
          <t>Higher values are better</t>
        </is>
      </c>
      <c r="H36" t="inlineStr">
        <is>
          <t>Mathematica analysis of the Quality Measure Reporting (QMR) system reports for the 2024 Core Set as of April 28, 2025.</t>
        </is>
      </c>
      <c r="I36" t="inlineStr">
        <is>
          <t>State-specific comments: Separate CHIP rates include managed care population (12 MCOs). The state described the "other" data sources used to calculate the measure as the following: "Health Plan Billing Data." Rates were audited or validated.</t>
        </is>
      </c>
      <c r="J36" s="4" t="n">
        <v>0.458</v>
      </c>
      <c r="K36" s="4" t="n">
        <v>0.367</v>
      </c>
      <c r="L36" s="4" t="n">
        <v>0.6</v>
      </c>
      <c r="M36" s="4" t="n">
        <v>0.197</v>
      </c>
      <c r="N36" s="4" t="n">
        <v>0.304</v>
      </c>
      <c r="O36" s="4" t="n">
        <v>0.432</v>
      </c>
    </row>
    <row r="37">
      <c r="A37" t="inlineStr">
        <is>
          <t>Cholesterol Testing</t>
        </is>
      </c>
      <c r="B37" t="inlineStr"/>
      <c r="C37" t="n">
        <v>2021</v>
      </c>
      <c r="D37" t="inlineStr">
        <is>
          <t>Medicaid &amp; CHIP</t>
        </is>
      </c>
      <c r="E37" t="inlineStr">
        <is>
          <t>Administrative</t>
        </is>
      </c>
      <c r="F37" t="inlineStr">
        <is>
          <t>Percentage with Two or More Antipsychotic Prescriptions that had Metabolic Testing for Cholesterol: Ages 1 to 17</t>
        </is>
      </c>
      <c r="G37" t="inlineStr">
        <is>
          <t>Higher values are better</t>
        </is>
      </c>
      <c r="H37" t="inlineStr">
        <is>
          <t>Mathematica analysis of the Quality Measure Reporting (QMR) system reports for the FFY 2021 reporting cycle as of June 1, 2023.</t>
        </is>
      </c>
      <c r="I37" t="inlineStr">
        <is>
          <t>State-specific comments: Rates include managed care population (16 MCOs). The state described the "other" data sources used to calculate the measure as the following: "Health Plan Billing Data." Rates were audited or validated.</t>
        </is>
      </c>
      <c r="J37" s="4" t="n">
        <v>0.36</v>
      </c>
      <c r="K37" s="4" t="n">
        <v>0.326</v>
      </c>
      <c r="L37" s="4" t="n">
        <v>0.602</v>
      </c>
      <c r="M37" s="4" t="n">
        <v>0.174</v>
      </c>
      <c r="N37" s="4" t="n">
        <v>0.267</v>
      </c>
      <c r="O37" s="4" t="n">
        <v>0.383</v>
      </c>
    </row>
    <row r="38">
      <c r="A38" t="inlineStr">
        <is>
          <t>Cholesterol Testing</t>
        </is>
      </c>
      <c r="B38" t="inlineStr"/>
      <c r="C38" t="n">
        <v>2022</v>
      </c>
      <c r="D38" t="inlineStr">
        <is>
          <t>Medicaid &amp; CHIP</t>
        </is>
      </c>
      <c r="E38" t="inlineStr">
        <is>
          <t>Administrative</t>
        </is>
      </c>
      <c r="F38" t="inlineStr">
        <is>
          <t>Percentage with Two or More Antipsychotic Prescriptions that had Metabolic Testing for Cholesterol: Ages 1 to 17</t>
        </is>
      </c>
      <c r="G38" t="inlineStr">
        <is>
          <t>Higher values are better</t>
        </is>
      </c>
      <c r="H38" t="inlineStr">
        <is>
          <t>Mathematica analysis of the Quality Measure Reporting (QMR) system reports for the FFY 2022 reporting cycle as of June 1, 2023.</t>
        </is>
      </c>
      <c r="I38" t="inlineStr">
        <is>
          <t>State-specific comments: Rates include managed care population (16 MCOs). The state described the "other" data sources used to calculate the measure as the following: "Health Plan Billing Data." Rates were audited or validated.</t>
        </is>
      </c>
      <c r="J38" s="4" t="n">
        <v>0.411</v>
      </c>
      <c r="K38" s="4" t="n">
        <v>0.353</v>
      </c>
      <c r="L38" s="4" t="n">
        <v>0.658</v>
      </c>
      <c r="M38" s="4" t="n">
        <v>0.174</v>
      </c>
      <c r="N38" s="4" t="n">
        <v>0.286</v>
      </c>
      <c r="O38" s="4" t="n">
        <v>0.419</v>
      </c>
    </row>
    <row r="39">
      <c r="A39" t="inlineStr">
        <is>
          <t>Cholesterol Testing</t>
        </is>
      </c>
      <c r="B39" t="inlineStr"/>
      <c r="C39" t="n">
        <v>2023</v>
      </c>
      <c r="D39" t="inlineStr">
        <is>
          <t>Medicaid &amp; CHIP</t>
        </is>
      </c>
      <c r="E39" t="inlineStr">
        <is>
          <t>Administrative</t>
        </is>
      </c>
      <c r="F39" t="inlineStr">
        <is>
          <t>Percentage with Two or More Antipsychotic Prescriptions that had Metabolic Testing for Cholesterol: Ages 1 to 17</t>
        </is>
      </c>
      <c r="G39" t="inlineStr">
        <is>
          <t>Higher values are better</t>
        </is>
      </c>
      <c r="H39" t="inlineStr">
        <is>
          <t>Mathematica analysis of the Quality Measure Reporting (QMR) system reports for the 2023 Core Set as of May 16, 2024.</t>
        </is>
      </c>
      <c r="I39" t="inlineStr">
        <is>
          <t>State-specific comments: Rates include managed care population (15 MCOs). The state described the "other" data sources used to calculate the measure as the following: "Health Plan Billing Data." Rates were audited or validated.</t>
        </is>
      </c>
      <c r="J39" s="4" t="n">
        <v>0.431</v>
      </c>
      <c r="K39" s="4" t="n">
        <v>0.342</v>
      </c>
      <c r="L39" s="4" t="n">
        <v>0.6879999999999999</v>
      </c>
      <c r="M39" s="4" t="n">
        <v>0.2</v>
      </c>
      <c r="N39" s="4" t="n">
        <v>0.284</v>
      </c>
      <c r="O39" s="4" t="n">
        <v>0.43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8" customWidth="1" min="1" max="1"/>
    <col width="13" customWidth="1" min="2" max="2"/>
    <col width="12" customWidth="1" min="3" max="3"/>
    <col width="22"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National Core Indicators Survey: Age 18 and Older (NCIIDD-AD)</t>
        </is>
      </c>
    </row>
    <row r="2"/>
    <row r="3">
      <c r="A3" s="1" t="inlineStr">
        <is>
          <t>Indicator</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Everyday Choices</t>
        </is>
      </c>
      <c r="B4" t="n">
        <v>2022</v>
      </c>
      <c r="C4" t="inlineStr">
        <is>
          <t>Medicaid</t>
        </is>
      </c>
      <c r="D4" t="inlineStr">
        <is>
          <t>NCI In-Person Survey</t>
        </is>
      </c>
      <c r="E4" t="inlineStr">
        <is>
          <t>Percentage of Adults who Reported They Decided or Had Help Deciding Their Daily Schedule, How to Spend Money, and How to Spend Free Time</t>
        </is>
      </c>
      <c r="F4" t="inlineStr">
        <is>
          <t>Higher values are better</t>
        </is>
      </c>
      <c r="G4" t="inlineStr">
        <is>
          <t>Mathematica analysis of the Quality Measure Reporting (QMR) system reports for the FFY 2022 reporting cycle as of June 1, 2023.</t>
        </is>
      </c>
      <c r="H4" t="inlineStr">
        <is>
          <t>State-specific comments: Rates include individuals enrolled in one service in addition to Care Management; Partners Health Plan (PHP), Fully Integrated Duals Advantage – Intellectual and/or Developmental Disabilities (FIDA-IDD) enrollees. Funding sources include a 1915(c) waiver, state funding, a Federal Alignment Initiative demonstration, and other sources. Denominator is the number of enrollees who responded to the questions. Total number of enrollees included in the programs is 66,600. The state provided the following information about the sampling or survey methodology: Proportionate by Care Coordination Organization (CCO). Individuals dually enrolled in Medicaid/Medicare who opted into the Fully Integrated Duals Advantage (FIDA) managed care program are excluded from this sample.</t>
        </is>
      </c>
      <c r="I4" s="4" t="n">
        <v>0.863</v>
      </c>
      <c r="J4" s="4" t="n">
        <v>0.907</v>
      </c>
      <c r="K4" s="4" t="n">
        <v>0.979</v>
      </c>
      <c r="L4" s="4" t="n">
        <v>0.834</v>
      </c>
      <c r="M4" s="4" t="n">
        <v>0.891</v>
      </c>
      <c r="N4" s="4" t="n">
        <v>0.944</v>
      </c>
    </row>
    <row r="5">
      <c r="A5" t="inlineStr">
        <is>
          <t>Everyday Choices</t>
        </is>
      </c>
      <c r="B5" t="n">
        <v>2023</v>
      </c>
      <c r="C5" t="inlineStr">
        <is>
          <t>Medicaid</t>
        </is>
      </c>
      <c r="D5" t="inlineStr">
        <is>
          <t>NCI In-Person Survey</t>
        </is>
      </c>
      <c r="E5" t="inlineStr">
        <is>
          <t>Percentage of Adults who Reported They Decided or Had Help Deciding Their Daily Schedule, How to Spend Money, and How to Spend Free Time</t>
        </is>
      </c>
      <c r="F5" t="inlineStr">
        <is>
          <t>Higher values are better</t>
        </is>
      </c>
      <c r="G5"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5" t="inlineStr">
        <is>
          <t>State-specific comments: Rates include Individuals enrolled in one service in addition to Care Management; Partners Health Plan (PHP), Fully Integrated Duals Advantage – Intellectual and/or Developmental Disabilities (FIDA-IDD) enrollees. Funding sources include a 1915(c) waiver, state funding, Partners Health Plan (PHP) funding, FIDA-IDD funding. Total number of enrollees included in the programs is 95,000. The state provided the following information about the sampling or survey methodology: Proportionate sample by Care Coordination Organization (CCO)/PHP/FIDA-IDD enrollees. Individuals who have completed a CAS assessment within the calendar year are excluded from this sample.</t>
        </is>
      </c>
      <c r="I5" s="4" t="n">
        <v>0.861</v>
      </c>
      <c r="J5" s="4" t="n">
        <v>0.894</v>
      </c>
      <c r="K5" s="4" t="n">
        <v>0.971</v>
      </c>
      <c r="L5" s="4" t="n">
        <v>0.779</v>
      </c>
      <c r="M5" s="4" t="n">
        <v>0.864</v>
      </c>
      <c r="N5" s="4" t="n">
        <v>0.93</v>
      </c>
    </row>
    <row r="6">
      <c r="A6" t="inlineStr">
        <is>
          <t>Everyday Choices</t>
        </is>
      </c>
      <c r="B6" t="n">
        <v>2024</v>
      </c>
      <c r="C6" t="inlineStr">
        <is>
          <t>Medicaid</t>
        </is>
      </c>
      <c r="D6" t="inlineStr">
        <is>
          <t>NCI In-Person Survey</t>
        </is>
      </c>
      <c r="E6" t="inlineStr">
        <is>
          <t>Percentage of Adults who Reported They Decided or Had Help Deciding Their Daily Schedule, How to Spend Money, and How to Spend Free Time</t>
        </is>
      </c>
      <c r="F6" t="inlineStr">
        <is>
          <t>Higher values are better</t>
        </is>
      </c>
      <c r="G6"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6" t="inlineStr">
        <is>
          <t>State-specific comments: Rates include individuals enrolled in one service in addition to care management and Partners Health Plan (PHP) Fully Integrated Duals Advantage - Intellectual and/or Developmental Disabilities (FIDA-IDD) enrollees. Funding sources include a 1915(c) waiver, state funding, and PHP FIDA-IDD funding. Total number of enrollees included in the programs is 110,000. The state provided the following information about the sampling or survey methodology: Proportionate sample by Care Coordination Organization (CCO)/managed care plan. Individuals who completed a Coordinated Assessment System assessment within the calendar year are excluded from this sample.</t>
        </is>
      </c>
      <c r="I6" s="4" t="n">
        <v>0.872</v>
      </c>
      <c r="J6" s="4" t="n">
        <v>0.909</v>
      </c>
      <c r="K6" s="4" t="n">
        <v>0.971</v>
      </c>
      <c r="L6" s="4" t="n">
        <v>0.831</v>
      </c>
      <c r="M6" s="4" t="n">
        <v>0.871</v>
      </c>
      <c r="N6" s="4" t="n">
        <v>0.928</v>
      </c>
    </row>
    <row r="7">
      <c r="A7" t="inlineStr">
        <is>
          <t>Life Decisions</t>
        </is>
      </c>
      <c r="B7" t="n">
        <v>2023</v>
      </c>
      <c r="C7" t="inlineStr">
        <is>
          <t>Medicaid</t>
        </is>
      </c>
      <c r="D7" t="inlineStr">
        <is>
          <t>NCI In-Person Survey</t>
        </is>
      </c>
      <c r="E7" t="inlineStr">
        <is>
          <t>Percentage of Adults who Make Choices about Their Life Decisions, including Their Residence, Work, Day Activity, Staff, and Roommates</t>
        </is>
      </c>
      <c r="F7" t="inlineStr">
        <is>
          <t>Higher values are better</t>
        </is>
      </c>
      <c r="G7"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7" t="inlineStr">
        <is>
          <t>State-specific comments: Rates include Individuals enrolled in one service in addition to Care Management; Partners Health Plan (PHP), Fully Integrated Duals Advantage – Intellectual and/or Developmental Disabilities (FIDA-IDD) enrollees. Funding sources include a 1915(c) waiver, state funding, Partners Health Plan (PHP) funding, FIDA-IDD funding. Total number of enrollees included in the programs is 95,000. The state provided the following information about the sampling or survey methodology: Proportionate sample by Care Coordination Organization (CCO)/PHP/FIDA-IDD enrollees. Individuals who have completed a CAS assessment within the calendar year are excluded from this sample.</t>
        </is>
      </c>
      <c r="I7" s="4" t="n">
        <v>0.401</v>
      </c>
      <c r="J7" s="4" t="n">
        <v>0.625</v>
      </c>
      <c r="K7" s="4" t="n">
        <v>0.719</v>
      </c>
      <c r="L7" s="4" t="n">
        <v>0.354</v>
      </c>
      <c r="M7" s="4" t="n">
        <v>0.548</v>
      </c>
      <c r="N7" s="4" t="n">
        <v>0.6909999999999999</v>
      </c>
    </row>
    <row r="8">
      <c r="A8" t="inlineStr">
        <is>
          <t>Life Decisions</t>
        </is>
      </c>
      <c r="B8" t="n">
        <v>2024</v>
      </c>
      <c r="C8" t="inlineStr">
        <is>
          <t>Medicaid</t>
        </is>
      </c>
      <c r="D8" t="inlineStr">
        <is>
          <t>NCI In-Person Survey</t>
        </is>
      </c>
      <c r="E8" t="inlineStr">
        <is>
          <t>Percentage of Adults who Make Choices about Their Life Decisions, including Their Residence, Work, Day Activity, Staff, and Roommates</t>
        </is>
      </c>
      <c r="F8" t="inlineStr">
        <is>
          <t>Higher values are better</t>
        </is>
      </c>
      <c r="G8"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8" t="inlineStr">
        <is>
          <t>State-specific comments: Rates include individuals enrolled in one service in addition to care management and Partners Health Plan (PHP) Fully Integrated Duals Advantage - Intellectual and/or Developmental Disabilities (FIDA-IDD) enrollees. Funding sources include a 1915(c) waiver, state funding, and PHP FIDA-IDD funding. Total number of enrollees included in the programs is 110,000. The state provided the following information about the sampling or survey methodology: Proportionate sample by Care Coordination Organization (CCO)/managed care plan. Individuals who completed a Coordinated Assessment System assessment within the calendar year are excluded from this sample.</t>
        </is>
      </c>
      <c r="I8" s="4" t="n">
        <v>0.462</v>
      </c>
      <c r="J8" s="4" t="n">
        <v>0.629</v>
      </c>
      <c r="K8" s="4" t="n">
        <v>0.759</v>
      </c>
      <c r="L8" s="4" t="n">
        <v>0.243</v>
      </c>
      <c r="M8" s="4" t="n">
        <v>0.601</v>
      </c>
      <c r="N8" s="4" t="n">
        <v>0.6929999999999999</v>
      </c>
    </row>
    <row r="9">
      <c r="A9" t="inlineStr">
        <is>
          <t>Transportation</t>
        </is>
      </c>
      <c r="B9" t="n">
        <v>2022</v>
      </c>
      <c r="C9" t="inlineStr">
        <is>
          <t>Medicaid</t>
        </is>
      </c>
      <c r="D9" t="inlineStr">
        <is>
          <t>NCI In-Person Survey</t>
        </is>
      </c>
      <c r="E9" t="inlineStr">
        <is>
          <t>Percentage of Adults who Reported They Always Have a Way to Get Places When They Need to go Somewhere</t>
        </is>
      </c>
      <c r="F9" t="inlineStr">
        <is>
          <t>Higher values are better</t>
        </is>
      </c>
      <c r="G9" t="inlineStr">
        <is>
          <t>Mathematica analysis of the Quality Measure Reporting (QMR) system reports for the FFY 2022 reporting cycle as of June 1, 2023.</t>
        </is>
      </c>
      <c r="H9" t="inlineStr">
        <is>
          <t>State-specific comments: Rates include individuals enrolled in one service in addition to Care Management; Partners Health Plan (PHP), Fully Integrated Duals Advantage – Intellectual and/or Developmental Disabilities (FIDA-IDD) enrollees. Funding sources include a 1915(c) waiver, state funding, a Federal Alignment Initiative demonstration, and other sources. Denominator is the number of enrollees who responded to the questions. Total number of enrollees included in the programs is 66,600. The state provided the following information about the sampling or survey methodology: Proportionate by Care Coordination Organization (CCO). Individuals dually enrolled in Medicaid/Medicare who opted into the Fully Integrated Duals Advantage (FIDA) managed care program are excluded from this sample.</t>
        </is>
      </c>
      <c r="I9" s="4" t="n">
        <v>0.918</v>
      </c>
      <c r="J9" s="4" t="n">
        <v>0.945</v>
      </c>
      <c r="K9" s="4" t="n">
        <v>0.994</v>
      </c>
      <c r="L9" s="4" t="n">
        <v>0.734</v>
      </c>
      <c r="M9" s="4" t="n">
        <v>0.898</v>
      </c>
      <c r="N9" s="4" t="n">
        <v>0.967</v>
      </c>
    </row>
    <row r="10">
      <c r="A10" t="inlineStr">
        <is>
          <t>Transportation</t>
        </is>
      </c>
      <c r="B10" t="n">
        <v>2023</v>
      </c>
      <c r="C10" t="inlineStr">
        <is>
          <t>Medicaid</t>
        </is>
      </c>
      <c r="D10" t="inlineStr">
        <is>
          <t>NCI In-Person Survey</t>
        </is>
      </c>
      <c r="E10" t="inlineStr">
        <is>
          <t>Percentage of Adults who Reported They Always Have a Way to Get Places When They Need to go Somewhere</t>
        </is>
      </c>
      <c r="F10" t="inlineStr">
        <is>
          <t>Higher values are better</t>
        </is>
      </c>
      <c r="G10"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2022 to June 30, 2023 data collection period, corresponding to the 2023 Core Set, as of May 22, 2024.</t>
        </is>
      </c>
      <c r="H10" t="inlineStr">
        <is>
          <t>State-specific comments: Rates include Individuals enrolled in one service in addition to Care Management; Partners Health Plan (PHP), Fully Integrated Duals Advantage – Intellectual and/or Developmental Disabilities (FIDA-IDD) enrollees. Funding sources include a 1915(c) waiver, state funding, Partners Health Plan (PHP) funding, FIDA-IDD funding. Total number of enrollees included in the programs is 95,000. The state provided the following information about the sampling or survey methodology: Proportionate sample by Care Coordination Organization (CCO)/PHP/FIDA-IDD enrollees. Individuals who have completed a CAS assessment within the calendar year are excluded from this sample.</t>
        </is>
      </c>
      <c r="I10" s="4" t="n">
        <v>0.929</v>
      </c>
      <c r="J10" s="4" t="n">
        <v>0.9350000000000001</v>
      </c>
      <c r="K10" s="4" t="n">
        <v>0.993</v>
      </c>
      <c r="L10" s="4" t="n">
        <v>0.735</v>
      </c>
      <c r="M10" s="4" t="n">
        <v>0.914</v>
      </c>
      <c r="N10" s="4" t="n">
        <v>0.959</v>
      </c>
    </row>
    <row r="11">
      <c r="A11" t="inlineStr">
        <is>
          <t>Transportation</t>
        </is>
      </c>
      <c r="B11" t="n">
        <v>2024</v>
      </c>
      <c r="C11" t="inlineStr">
        <is>
          <t>Medicaid</t>
        </is>
      </c>
      <c r="D11" t="inlineStr">
        <is>
          <t>NCI In-Person Survey</t>
        </is>
      </c>
      <c r="E11" t="inlineStr">
        <is>
          <t>Percentage of Adults who Reported They Always Have a Way to Get Places When They Need to Go Somewhere</t>
        </is>
      </c>
      <c r="F11" t="inlineStr">
        <is>
          <t>Higher values are better</t>
        </is>
      </c>
      <c r="G11" t="inlineStr">
        <is>
          <t>Mathematica analysis of National Core Indicators (NCI) data submitted by states to the National Association of State Directors of Developmental Disabilities Services (NASDDDS) and the Human Services Research Institute (HSRI) (The NCI National Team) through the Online Data Entry System (ODESA) for the July 1, 2023 to June 30, 2024 data collection period, corresponding to the 2024 Adult Core Set, as of May 8, 2025.</t>
        </is>
      </c>
      <c r="H11" t="inlineStr">
        <is>
          <t>State-specific comments: Rates include individuals enrolled in one service in addition to care management and Partners Health Plan (PHP) Fully Integrated Duals Advantage - Intellectual and/or Developmental Disabilities (FIDA-IDD) enrollees. Funding sources include a 1915(c) waiver, state funding, and PHP FIDA-IDD funding. Total number of enrollees included in the programs is 110,000. The state provided the following information about the sampling or survey methodology: Proportionate sample by Care Coordination Organization (CCO)/managed care plan. Individuals who completed a Coordinated Assessment System assessment within the calendar year are excluded from this sample.</t>
        </is>
      </c>
      <c r="I11" s="4" t="n">
        <v>0.9389999999999999</v>
      </c>
      <c r="J11" s="4" t="n">
        <v>0.946</v>
      </c>
      <c r="K11" s="4" t="n">
        <v>0.996</v>
      </c>
      <c r="L11" s="4" t="n">
        <v>0.605</v>
      </c>
      <c r="M11" s="4" t="n">
        <v>0.9360000000000001</v>
      </c>
      <c r="N11" s="4" t="n">
        <v>0.969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23"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Oral Evaluation, Dental Services: Ages &lt;1 through 20 (OEV-CH)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c r="C4" t="inlineStr"/>
      <c r="D4" t="inlineStr">
        <is>
          <t>Percentage of Enrolled Children Under Age 21 Who Received a Comprehensive or Periodic Oral Evaluation: Ages &lt;1 through 20</t>
        </is>
      </c>
      <c r="E4" t="inlineStr">
        <is>
          <t>Higher values are better</t>
        </is>
      </c>
      <c r="F4" t="inlineStr">
        <is>
          <t>Mathematica analysis of the Quality Measure Reporting (QMR) system reports for the FFY 2022 reporting cycle as of June 1, 2023.</t>
        </is>
      </c>
      <c r="G4" t="inlineStr"/>
      <c r="H4" t="inlineStr">
        <is>
          <t>Not reported by state</t>
        </is>
      </c>
      <c r="I4" s="4" t="n">
        <v>0.432</v>
      </c>
      <c r="J4" s="4" t="n">
        <v>0.633</v>
      </c>
      <c r="K4" s="4" t="n">
        <v>0.182</v>
      </c>
      <c r="L4" s="4" t="n">
        <v>0.371</v>
      </c>
      <c r="M4" s="4" t="n">
        <v>0.494</v>
      </c>
    </row>
    <row r="5">
      <c r="A5" t="n">
        <v>2023</v>
      </c>
      <c r="B5" t="inlineStr"/>
      <c r="C5" t="inlineStr"/>
      <c r="D5" t="inlineStr">
        <is>
          <t>Percentage of Enrolled Children Under Age 21 Who Received a Comprehensive or Periodic Oral Evaluation: Ages &lt;1 through 20</t>
        </is>
      </c>
      <c r="E5" t="inlineStr">
        <is>
          <t>Higher values are better</t>
        </is>
      </c>
      <c r="F5" t="inlineStr">
        <is>
          <t>Mathematica analysis of the Quality Measure Reporting (QMR) system reports for the 2023 Core Set as of May 16, 2024.</t>
        </is>
      </c>
      <c r="G5" t="inlineStr"/>
      <c r="H5" t="inlineStr">
        <is>
          <t>Not reported by state</t>
        </is>
      </c>
      <c r="I5" s="4" t="n">
        <v>0.428</v>
      </c>
      <c r="J5" s="4" t="n">
        <v>0.628</v>
      </c>
      <c r="K5" s="4" t="n">
        <v>0.201</v>
      </c>
      <c r="L5" s="4" t="n">
        <v>0.393</v>
      </c>
      <c r="M5" s="4" t="n">
        <v>0.478</v>
      </c>
    </row>
    <row r="6">
      <c r="A6" t="n">
        <v>2024</v>
      </c>
      <c r="B6" t="inlineStr">
        <is>
          <t>Medicaid (Title XIX)</t>
        </is>
      </c>
      <c r="C6" t="inlineStr">
        <is>
          <t>Administrative</t>
        </is>
      </c>
      <c r="D6" t="inlineStr">
        <is>
          <t>Percentage of Enrolled Children Under Age 21 Who Received a Comprehensive or Periodic Oral Evaluation: Ages &lt;1 through 20</t>
        </is>
      </c>
      <c r="E6" t="inlineStr">
        <is>
          <t>Higher values are better</t>
        </is>
      </c>
      <c r="F6" t="inlineStr">
        <is>
          <t>Mathematica analysis of the Quality Measure Reporting (QMR) system reports for the 2024 Core Set as of April 28, 2025.</t>
        </is>
      </c>
      <c r="G6" t="inlineStr">
        <is>
          <t>State-specific comments: Rate includes FFS and managed care populations (15 MCOs). State reported that the rate excludes the following populations: "New York State received a one-year exemption from reporting for the separate CHIP population for this measure." The state described the "other" data sources used to calculate the measure as the following: "New York State All Payer Database." Rate was audited or validated.</t>
        </is>
      </c>
      <c r="H6" s="4" t="n">
        <v>0.297</v>
      </c>
      <c r="I6" s="4" t="n">
        <v>0.448</v>
      </c>
      <c r="J6" s="4" t="n">
        <v>0.618</v>
      </c>
      <c r="K6" s="4" t="n">
        <v>0.268</v>
      </c>
      <c r="L6" s="4" t="n">
        <v>0.408</v>
      </c>
      <c r="M6" s="4" t="n">
        <v>0.49</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5" customWidth="1" min="1" max="1"/>
    <col width="15" customWidth="1" min="2" max="2"/>
    <col width="16" customWidth="1" min="3" max="3"/>
    <col width="60" customWidth="1" min="4" max="4"/>
    <col width="26" customWidth="1" min="5" max="5"/>
    <col width="60" customWidth="1" min="6" max="6"/>
    <col width="31"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Percentage of Eligibles Who Received Preventive Dental Services: Ages 1 to 20 (PDENT-CH)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only</t>
        </is>
      </c>
      <c r="C4" t="inlineStr">
        <is>
          <t>Administrative</t>
        </is>
      </c>
      <c r="D4" t="inlineStr">
        <is>
          <t>Percentage Enrolled in Medicaid or Medicaid Expansion CHIP Programs for at least 90 Continuous Days with at Least 1 Preventive Dental Service: Ages 1 to 20</t>
        </is>
      </c>
      <c r="E4" t="inlineStr">
        <is>
          <t>Higher values are better</t>
        </is>
      </c>
      <c r="F4" t="inlineStr">
        <is>
          <t>Mathematica analysis of FFY 2021 Form CMS-416 reports (annual EPSDT report), Lines 1b and 12b as of November 9, 2022.</t>
        </is>
      </c>
      <c r="G4" t="inlineStr">
        <is>
          <t>State-specific comments: None</t>
        </is>
      </c>
      <c r="H4" s="4" t="n">
        <v>0.38</v>
      </c>
      <c r="I4" s="4" t="n">
        <v>0.446</v>
      </c>
      <c r="J4" s="4" t="n">
        <v>0.629</v>
      </c>
      <c r="K4" s="4" t="n">
        <v>0.298</v>
      </c>
      <c r="L4" s="4" t="n">
        <v>0.385</v>
      </c>
      <c r="M4" s="4" t="n">
        <v>0.474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5" customWidth="1" min="5" max="5"/>
    <col width="60" customWidth="1" min="6" max="6"/>
    <col width="60" customWidth="1" min="7" max="7"/>
    <col width="8"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Plan All-Cause Readmissions: Ages 18 to 64 (PCR-AD)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Ratio of Observed All-Cause Readmissions to Expected Readmissions: Ages 18 to 64</t>
        </is>
      </c>
      <c r="E4" t="inlineStr">
        <is>
          <t>Lower values are better</t>
        </is>
      </c>
      <c r="F4" t="inlineStr">
        <is>
          <t>Mathematica analysis of the Quality Measure Reporting (QMR) system reports for the FFY 2021 reporting cycle as of June 1, 2023.</t>
        </is>
      </c>
      <c r="G4" t="inlineStr">
        <is>
          <t>State-specific comments: Rates include managed care population (28 MCOs). Rates were audited or validated.</t>
        </is>
      </c>
      <c r="H4" s="5" t="n">
        <v>1.018</v>
      </c>
      <c r="I4" s="5" t="n">
        <v>1.0009</v>
      </c>
      <c r="J4" s="5" t="n">
        <v>1.5076</v>
      </c>
      <c r="K4" s="5" t="n">
        <v>0.7143</v>
      </c>
      <c r="L4" s="5" t="n">
        <v>0.9471000000000001</v>
      </c>
      <c r="M4" s="5" t="n">
        <v>1.1431</v>
      </c>
    </row>
    <row r="5">
      <c r="A5" t="n">
        <v>2022</v>
      </c>
      <c r="B5" t="inlineStr">
        <is>
          <t>Medicaid</t>
        </is>
      </c>
      <c r="C5" t="inlineStr">
        <is>
          <t>Administrative</t>
        </is>
      </c>
      <c r="D5" t="inlineStr">
        <is>
          <t>Ratio of Observed All-Cause Readmissions to Expected Readmissions: Ages 18 to 64</t>
        </is>
      </c>
      <c r="E5" t="inlineStr">
        <is>
          <t>Lower values are better</t>
        </is>
      </c>
      <c r="F5" t="inlineStr">
        <is>
          <t>Mathematica analysis of the Quality Measure Reporting (QMR) system reports for the FFY 2022 reporting cycle as of June 1, 2023.</t>
        </is>
      </c>
      <c r="G5" t="inlineStr">
        <is>
          <t>State-specific comments: Rates include managed care population (28 MCOs). Rates were audited or validated.</t>
        </is>
      </c>
      <c r="H5" s="5" t="n">
        <v>0.9598</v>
      </c>
      <c r="I5" s="5" t="n">
        <v>0.9752</v>
      </c>
      <c r="J5" s="5" t="n">
        <v>1.3028</v>
      </c>
      <c r="K5" s="5" t="n">
        <v>0.6870000000000001</v>
      </c>
      <c r="L5" s="5" t="n">
        <v>0.8998</v>
      </c>
      <c r="M5" s="5" t="n">
        <v>1.1244</v>
      </c>
    </row>
    <row r="6">
      <c r="A6" t="n">
        <v>2023</v>
      </c>
      <c r="B6" t="inlineStr">
        <is>
          <t>Medicaid</t>
        </is>
      </c>
      <c r="C6" t="inlineStr">
        <is>
          <t>Administrative</t>
        </is>
      </c>
      <c r="D6" t="inlineStr">
        <is>
          <t>Ratio of Observed All-Cause Readmissions to Expected Readmissions: Ages 18 to 64</t>
        </is>
      </c>
      <c r="E6" t="inlineStr">
        <is>
          <t>Lower values are better</t>
        </is>
      </c>
      <c r="F6" t="inlineStr">
        <is>
          <t>Mathematica analysis of the Quality Measure Reporting (QMR) system reports for the 2023 Core Set as of May 16, 2024.</t>
        </is>
      </c>
      <c r="G6" t="inlineStr">
        <is>
          <t>State-specific comments: Rates include managed care population (26 MCOs). Rates were audited or validated.</t>
        </is>
      </c>
      <c r="H6" s="5" t="n">
        <v>0.9453</v>
      </c>
      <c r="I6" s="5" t="n">
        <v>1.0139</v>
      </c>
      <c r="J6" s="5" t="n">
        <v>1.3064</v>
      </c>
      <c r="K6" s="5" t="n">
        <v>0.236</v>
      </c>
      <c r="L6" s="5" t="n">
        <v>0.9288999999999999</v>
      </c>
      <c r="M6" s="5" t="n">
        <v>1.0878</v>
      </c>
    </row>
    <row r="7">
      <c r="A7" t="n">
        <v>2024</v>
      </c>
      <c r="B7" t="inlineStr">
        <is>
          <t>Medicaid (Title XIX)</t>
        </is>
      </c>
      <c r="C7" t="inlineStr">
        <is>
          <t>Administrative</t>
        </is>
      </c>
      <c r="D7" t="inlineStr">
        <is>
          <t>Ratio of Observed All-Cause Readmissions to Expected Readmissions: Ages 18 to 64</t>
        </is>
      </c>
      <c r="E7" t="inlineStr">
        <is>
          <t>Lower values are better</t>
        </is>
      </c>
      <c r="F7" t="inlineStr">
        <is>
          <t>Mathematica analysis of the Quality Measure Reporting (QMR) system reports for the 2024 Core Set as of April 28, 2025.</t>
        </is>
      </c>
      <c r="G7" t="inlineStr">
        <is>
          <t>State-specific comments: Rates include FFS and managed care populations (26 MCOs). The state described the "other" data sources used to calculate the measure as the following: "Health Plan Billing Data." Rates were audited or validated.</t>
        </is>
      </c>
      <c r="H7" s="5" t="n">
        <v>0.9376</v>
      </c>
      <c r="I7" s="5" t="n">
        <v>0.9896</v>
      </c>
      <c r="J7" s="5" t="n">
        <v>1.4463</v>
      </c>
      <c r="K7" s="5" t="n">
        <v>0.7381</v>
      </c>
      <c r="L7" s="5" t="n">
        <v>0.9131</v>
      </c>
      <c r="M7" s="5" t="n">
        <v>1.117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01: Diabetes Short-Term Complications Admission Rate: Age 18 and Older (PQI01-AD)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Diabetes Short-Term Complications per 100,000 Beneficiary Months: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(65 MCOs). Rate was audited or validated. Our data include age 65+ with duals excluded.</t>
        </is>
      </c>
      <c r="H4" s="3" t="n">
        <v>13</v>
      </c>
      <c r="I4" s="3" t="n">
        <v>16.7</v>
      </c>
      <c r="J4" s="3" t="n">
        <v>43.4</v>
      </c>
      <c r="K4" s="3" t="n">
        <v>6.2</v>
      </c>
      <c r="L4" s="3" t="n">
        <v>14.9</v>
      </c>
      <c r="M4" s="3" t="n">
        <v>22.2</v>
      </c>
    </row>
    <row r="5">
      <c r="A5" t="n">
        <v>2022</v>
      </c>
      <c r="B5" t="inlineStr">
        <is>
          <t>Medicaid</t>
        </is>
      </c>
      <c r="C5" t="inlineStr">
        <is>
          <t>Administrative</t>
        </is>
      </c>
      <c r="D5" t="inlineStr">
        <is>
          <t>Inpatient Hospital Admissions for Diabetes Short-Term Complications per 100,000 Beneficiary Months: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(61 MCOs). Rate was audited or validated. Our data include age 65+ and exclude duals.</t>
        </is>
      </c>
      <c r="H5" s="3" t="n">
        <v>11.4</v>
      </c>
      <c r="I5" s="3" t="n">
        <v>17.2</v>
      </c>
      <c r="J5" s="3" t="n">
        <v>35.1</v>
      </c>
      <c r="K5" s="3" t="n">
        <v>8.6</v>
      </c>
      <c r="L5" s="3" t="n">
        <v>13.6</v>
      </c>
      <c r="M5" s="3" t="n">
        <v>21.8</v>
      </c>
    </row>
    <row r="6">
      <c r="A6" t="n">
        <v>2023</v>
      </c>
      <c r="B6" t="inlineStr">
        <is>
          <t>Medicaid</t>
        </is>
      </c>
      <c r="C6" t="inlineStr">
        <is>
          <t>Administrative</t>
        </is>
      </c>
      <c r="D6" t="inlineStr">
        <is>
          <t>Hospitalizations for Diabetes Short-Term Complications per 100,000 Beneficiary Months: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(63 MCOs). Rate was audited or validated.</t>
        </is>
      </c>
      <c r="H6" s="3" t="n">
        <v>10.2</v>
      </c>
      <c r="I6" s="3" t="n">
        <v>15.4</v>
      </c>
      <c r="J6" s="3" t="n">
        <v>28.9</v>
      </c>
      <c r="K6" s="3" t="n">
        <v>8.800000000000001</v>
      </c>
      <c r="L6" s="3" t="n">
        <v>13</v>
      </c>
      <c r="M6" s="3" t="n">
        <v>19</v>
      </c>
    </row>
    <row r="7">
      <c r="A7" t="n">
        <v>2024</v>
      </c>
      <c r="B7" t="inlineStr">
        <is>
          <t>Medicaid (Title XIX)</t>
        </is>
      </c>
      <c r="C7" t="inlineStr">
        <is>
          <t>Administrative</t>
        </is>
      </c>
      <c r="D7" t="inlineStr">
        <is>
          <t>Hospitalizations for Diabetes Short-Term Complications per 100,000 Beneficiary Months: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(63 MCOs). Rate was audited or validated.</t>
        </is>
      </c>
      <c r="H7" s="3" t="n">
        <v>9.5</v>
      </c>
      <c r="I7" s="3" t="n">
        <v>13.7</v>
      </c>
      <c r="J7" s="3" t="n">
        <v>27.2</v>
      </c>
      <c r="K7" s="3" t="n">
        <v>6.3</v>
      </c>
      <c r="L7" s="3" t="n">
        <v>12</v>
      </c>
      <c r="M7" s="3" t="n">
        <v>18.4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05: Chronic Obstructive Pulmonary Disease (COPD) or Asthma in Older Adults Admission Rate: Age 40 and Older (PQI05-AD)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Chronic Obstructive Pulmonary Disease (COPD) or Asthma per 100,000 Beneficiary Months: Ages 40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(65 MCOs). Rate was audited or validated. Our data include age 65+ and exclude duals.</t>
        </is>
      </c>
      <c r="H4" s="3" t="n">
        <v>32.1</v>
      </c>
      <c r="I4" s="3" t="n">
        <v>41.8</v>
      </c>
      <c r="J4" s="3" t="n">
        <v>163.9</v>
      </c>
      <c r="K4" s="3" t="n">
        <v>16.5</v>
      </c>
      <c r="L4" s="3" t="n">
        <v>29</v>
      </c>
      <c r="M4" s="3" t="n">
        <v>59.2</v>
      </c>
    </row>
    <row r="5">
      <c r="A5" t="n">
        <v>2022</v>
      </c>
      <c r="B5" t="inlineStr">
        <is>
          <t>Medicaid</t>
        </is>
      </c>
      <c r="C5" t="inlineStr">
        <is>
          <t>Administrative</t>
        </is>
      </c>
      <c r="D5" t="inlineStr">
        <is>
          <t>Inpatient Hospital Admissions for Chronic Obstructive Pulmonary Disease (COPD) or Asthma per 100,000 Beneficiary Months: Ages 40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(61 MCOs). Rate was audited or validated. Our data include age 65+ and exclude duals.</t>
        </is>
      </c>
      <c r="H5" s="3" t="n">
        <v>27.8</v>
      </c>
      <c r="I5" s="3" t="n">
        <v>29.8</v>
      </c>
      <c r="J5" s="3" t="n">
        <v>258.8</v>
      </c>
      <c r="K5" s="3" t="n">
        <v>13.4</v>
      </c>
      <c r="L5" s="3" t="n">
        <v>23.2</v>
      </c>
      <c r="M5" s="3" t="n">
        <v>40.6</v>
      </c>
    </row>
    <row r="6">
      <c r="A6" t="n">
        <v>2023</v>
      </c>
      <c r="B6" t="inlineStr">
        <is>
          <t>Medicaid</t>
        </is>
      </c>
      <c r="C6" t="inlineStr">
        <is>
          <t>Administrative</t>
        </is>
      </c>
      <c r="D6" t="inlineStr">
        <is>
          <t>Hospitalizations for Chronic Obstructive Pulmonary Disease (COPD) or Asthma per 100,000 Beneficiary Months: Ages 40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(63 MCOs). Rate was audited or validated.</t>
        </is>
      </c>
      <c r="H6" s="3" t="n">
        <v>24.8</v>
      </c>
      <c r="I6" s="3" t="n">
        <v>27</v>
      </c>
      <c r="J6" s="3" t="n">
        <v>287.5</v>
      </c>
      <c r="K6" s="3" t="n">
        <v>13.8</v>
      </c>
      <c r="L6" s="3" t="n">
        <v>21</v>
      </c>
      <c r="M6" s="3" t="n">
        <v>49.2</v>
      </c>
    </row>
    <row r="7">
      <c r="A7" t="n">
        <v>2024</v>
      </c>
      <c r="B7" t="inlineStr">
        <is>
          <t>Medicaid (Title XIX)</t>
        </is>
      </c>
      <c r="C7" t="inlineStr">
        <is>
          <t>Administrative</t>
        </is>
      </c>
      <c r="D7" t="inlineStr">
        <is>
          <t>Hospitalizations for Chronic Obstructive Pulmonary Disease (COPD) or Asthma per 100,000 Beneficiary Months: Ages 40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(61 MCOs). Rate was audited or validated.</t>
        </is>
      </c>
      <c r="H7" s="3" t="n">
        <v>24.6</v>
      </c>
      <c r="I7" s="3" t="n">
        <v>24.7</v>
      </c>
      <c r="J7" s="3" t="n">
        <v>304.4</v>
      </c>
      <c r="K7" s="3" t="n">
        <v>11.1</v>
      </c>
      <c r="L7" s="3" t="n">
        <v>17.8</v>
      </c>
      <c r="M7" s="3" t="n">
        <v>37.2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34"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08: Heart Failure Admission Rate: Age 18 and Older (PQI08-AD)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CHIP, &amp; Dual Eligibles</t>
        </is>
      </c>
      <c r="C4" t="inlineStr">
        <is>
          <t>Administrative</t>
        </is>
      </c>
      <c r="D4" t="inlineStr">
        <is>
          <t>Inpatient Hospital Admissions for Heart Failure per 100,000 Beneficiary Months: Ages 18 to 64</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(65 MCOs). Rate was audited or validated.</t>
        </is>
      </c>
      <c r="H4" s="3" t="n">
        <v>16.9</v>
      </c>
      <c r="I4" s="3" t="n">
        <v>24</v>
      </c>
      <c r="J4" s="3" t="n">
        <v>84.8</v>
      </c>
      <c r="K4" s="3" t="n">
        <v>7.1</v>
      </c>
      <c r="L4" s="3" t="n">
        <v>17.1</v>
      </c>
      <c r="M4" s="3" t="n">
        <v>37.1</v>
      </c>
    </row>
    <row r="5">
      <c r="A5" t="n">
        <v>2022</v>
      </c>
      <c r="B5" t="inlineStr">
        <is>
          <t>Medicaid</t>
        </is>
      </c>
      <c r="C5" t="inlineStr">
        <is>
          <t>Administrative</t>
        </is>
      </c>
      <c r="D5" t="inlineStr">
        <is>
          <t>Inpatient Hospital Admissions for Heart Failure per 100,000 Beneficiary Months: Ages 18 to 64</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(61 MCOs). Rate was audited or validated. Our data include age 65+ and exclude duals.</t>
        </is>
      </c>
      <c r="H5" s="3" t="n">
        <v>17.1</v>
      </c>
      <c r="I5" s="3" t="n">
        <v>23.9</v>
      </c>
      <c r="J5" s="3" t="n">
        <v>71.8</v>
      </c>
      <c r="K5" s="3" t="n">
        <v>5.2</v>
      </c>
      <c r="L5" s="3" t="n">
        <v>17.1</v>
      </c>
      <c r="M5" s="3" t="n">
        <v>33.4</v>
      </c>
    </row>
    <row r="6">
      <c r="A6" t="n">
        <v>2023</v>
      </c>
      <c r="B6" t="inlineStr">
        <is>
          <t>Medicaid</t>
        </is>
      </c>
      <c r="C6" t="inlineStr">
        <is>
          <t>Administrative</t>
        </is>
      </c>
      <c r="D6" t="inlineStr">
        <is>
          <t>Hospitalizations for Heart Failure per 100,000 Beneficiary Months: Ages 18 to 64</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(63 MCOs). Rate was audited or validated.</t>
        </is>
      </c>
      <c r="H6" s="3" t="n">
        <v>15.9</v>
      </c>
      <c r="I6" s="3" t="n">
        <v>22.2</v>
      </c>
      <c r="J6" s="3" t="n">
        <v>124.6</v>
      </c>
      <c r="K6" s="3" t="n">
        <v>4.4</v>
      </c>
      <c r="L6" s="3" t="n">
        <v>16.8</v>
      </c>
      <c r="M6" s="3" t="n">
        <v>35.5</v>
      </c>
    </row>
    <row r="7">
      <c r="A7" t="n">
        <v>2024</v>
      </c>
      <c r="B7" t="inlineStr">
        <is>
          <t>Medicaid (Title XIX)</t>
        </is>
      </c>
      <c r="C7" t="inlineStr">
        <is>
          <t>Administrative</t>
        </is>
      </c>
      <c r="D7" t="inlineStr">
        <is>
          <t>Hospitalizations for Heart Failure per 100,000 Beneficiary Months: Ages 18 to 64</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(61 MCOs). Rate was audited or validated.</t>
        </is>
      </c>
      <c r="H7" s="3" t="n">
        <v>15.4</v>
      </c>
      <c r="I7" s="3" t="n">
        <v>20.6</v>
      </c>
      <c r="J7" s="3" t="n">
        <v>94.59999999999999</v>
      </c>
      <c r="K7" s="3" t="n">
        <v>4.8</v>
      </c>
      <c r="L7" s="3" t="n">
        <v>15.9</v>
      </c>
      <c r="M7" s="3" t="n">
        <v>36.3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5"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PQI 15: Asthma in Younger Adults Admission Rate: Ages 18 to 39 (PQI15-AD)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Administrative</t>
        </is>
      </c>
      <c r="D4" t="inlineStr">
        <is>
          <t>Inpatient Hospital Admissions for Asthma per 100,000 Beneficiary Months: Ages 18 to 39</t>
        </is>
      </c>
      <c r="E4" t="inlineStr">
        <is>
          <t>Lower values are better</t>
        </is>
      </c>
      <c r="F4" t="inlineStr">
        <is>
          <t>Mathematica analysis of the Quality Measure Reporting (QMR) system reports for the FFY 2021 reporting cycle as of June 1, 2023.</t>
        </is>
      </c>
      <c r="G4" t="inlineStr">
        <is>
          <t>State-specific comments: Rate includes FFS and managed care populations (52 MCOs). Rate was audited or validated.</t>
        </is>
      </c>
      <c r="H4" s="3" t="n">
        <v>4.4</v>
      </c>
      <c r="I4" s="3" t="n">
        <v>3.5</v>
      </c>
      <c r="J4" s="3" t="n">
        <v>12.8</v>
      </c>
      <c r="K4" s="3" t="n">
        <v>1.6</v>
      </c>
      <c r="L4" s="3" t="n">
        <v>2.5</v>
      </c>
      <c r="M4" s="3" t="n">
        <v>5.2</v>
      </c>
    </row>
    <row r="5">
      <c r="A5" t="n">
        <v>2022</v>
      </c>
      <c r="B5" t="inlineStr">
        <is>
          <t>Medicaid</t>
        </is>
      </c>
      <c r="C5" t="inlineStr">
        <is>
          <t>Administrative</t>
        </is>
      </c>
      <c r="D5" t="inlineStr">
        <is>
          <t>Inpatient Hospital Admissions for Asthma per 100,000 Beneficiary Months: Ages 18 to 39</t>
        </is>
      </c>
      <c r="E5" t="inlineStr">
        <is>
          <t>Lower values are better</t>
        </is>
      </c>
      <c r="F5" t="inlineStr">
        <is>
          <t>Mathematica analysis of the Quality Measure Reporting (QMR) system reports for the FFY 2022 reporting cycle as of June 1, 2023.</t>
        </is>
      </c>
      <c r="G5" t="inlineStr">
        <is>
          <t>State-specific comments: Rate includes FFS and managed care populations (49 MCOs). Rate was audited or validated.</t>
        </is>
      </c>
      <c r="H5" s="3" t="n">
        <v>4.9</v>
      </c>
      <c r="I5" s="3" t="n">
        <v>3.1</v>
      </c>
      <c r="J5" s="3" t="n">
        <v>27.1</v>
      </c>
      <c r="K5" s="3" t="n">
        <v>1.2</v>
      </c>
      <c r="L5" s="3" t="n">
        <v>2.2</v>
      </c>
      <c r="M5" s="3" t="n">
        <v>4.7</v>
      </c>
    </row>
    <row r="6">
      <c r="A6" t="n">
        <v>2023</v>
      </c>
      <c r="B6" t="inlineStr">
        <is>
          <t>Medicaid</t>
        </is>
      </c>
      <c r="C6" t="inlineStr">
        <is>
          <t>Administrative</t>
        </is>
      </c>
      <c r="D6" t="inlineStr">
        <is>
          <t>Hospitalizations for Asthma per 100,000 Beneficiary Months: Ages 18 to 39</t>
        </is>
      </c>
      <c r="E6" t="inlineStr">
        <is>
          <t>Lower values are better</t>
        </is>
      </c>
      <c r="F6" t="inlineStr">
        <is>
          <t>Mathematica analysis of the Quality Measure Reporting (QMR) system reports for the 2023 Core Set as of May 16, 2024.</t>
        </is>
      </c>
      <c r="G6" t="inlineStr">
        <is>
          <t>State-specific comments: Rate includes FFS and managed care populations (47 MCOs). Rate was audited or validated.</t>
        </is>
      </c>
      <c r="H6" s="3" t="n">
        <v>4.7</v>
      </c>
      <c r="I6" s="3" t="n">
        <v>2.8</v>
      </c>
      <c r="J6" s="3" t="n">
        <v>32.1</v>
      </c>
      <c r="K6" s="3" t="n">
        <v>1.2</v>
      </c>
      <c r="L6" s="3" t="n">
        <v>2</v>
      </c>
      <c r="M6" s="3" t="n">
        <v>4.2</v>
      </c>
    </row>
    <row r="7">
      <c r="A7" t="n">
        <v>2024</v>
      </c>
      <c r="B7" t="inlineStr">
        <is>
          <t>Medicaid (Title XIX)</t>
        </is>
      </c>
      <c r="C7" t="inlineStr">
        <is>
          <t>Administrative</t>
        </is>
      </c>
      <c r="D7" t="inlineStr">
        <is>
          <t>Hospitalizations for Asthma per 100,000 Beneficiary Months: Ages 18 to 39</t>
        </is>
      </c>
      <c r="E7" t="inlineStr">
        <is>
          <t>Lower values are better</t>
        </is>
      </c>
      <c r="F7" t="inlineStr">
        <is>
          <t>Mathematica analysis of the Quality Measure Reporting (QMR) system reports for the 2024 Core Set as of April 28, 2025.</t>
        </is>
      </c>
      <c r="G7" t="inlineStr">
        <is>
          <t>State-specific comments: Rate includes FFS and managed care populations (48 MCOs). Rate was audited or validated.</t>
        </is>
      </c>
      <c r="H7" s="3" t="n">
        <v>4.4</v>
      </c>
      <c r="I7" s="3" t="n">
        <v>2.7</v>
      </c>
      <c r="J7" s="3" t="n">
        <v>17</v>
      </c>
      <c r="K7" s="3" t="n">
        <v>1.2</v>
      </c>
      <c r="L7" s="3" t="n">
        <v>1.8</v>
      </c>
      <c r="M7" s="3" t="n">
        <v>3.5</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17" customWidth="1" min="2" max="2"/>
    <col width="13"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Prenatal and Postpartum Care: Timeliness of Prenatal Care (PPC-CH)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 &amp; CHIP</t>
        </is>
      </c>
      <c r="C4" t="inlineStr">
        <is>
          <t>Hybrid</t>
        </is>
      </c>
      <c r="D4" t="inlineStr">
        <is>
          <t>Percentage of Women Delivering a Live Birth with a Prenatal Care Visit in the First Trimester, on or before the enrollment start date, or within 42 Days of Enrollment in Medicaid or CHIP</t>
        </is>
      </c>
      <c r="E4" t="inlineStr">
        <is>
          <t>Higher values are better</t>
        </is>
      </c>
      <c r="F4" t="inlineStr">
        <is>
          <t>Mathematica analysis of the Quality Measure Reporting (QMR) system reports for the FFY 2021 reporting cycle as of June 1, 2023.</t>
        </is>
      </c>
      <c r="G4" t="inlineStr">
        <is>
          <t>State-specific comments: Rate includes managed care population (16 MCOs). The state described the "other" data sources used to calculate the measure as the following: "Health Plan Billing Data." Denominator is the sample size; measure-eligible population is 88,303. Rate was audited or validated.</t>
        </is>
      </c>
      <c r="H4" s="4" t="n">
        <v>0.875</v>
      </c>
      <c r="I4" s="4" t="n">
        <v>0.819</v>
      </c>
      <c r="J4" s="4" t="n">
        <v>0.946</v>
      </c>
      <c r="K4" s="4" t="n">
        <v>0.293</v>
      </c>
      <c r="L4" s="4" t="n">
        <v>0.754</v>
      </c>
      <c r="M4" s="4" t="n">
        <v>0.865</v>
      </c>
    </row>
    <row r="5">
      <c r="A5" t="n">
        <v>2022</v>
      </c>
      <c r="B5" t="inlineStr">
        <is>
          <t>Medicaid &amp; CHIP</t>
        </is>
      </c>
      <c r="C5" t="inlineStr">
        <is>
          <t>Hybrid</t>
        </is>
      </c>
      <c r="D5" t="inlineStr">
        <is>
          <t>Percentage of Women Delivering a Live Birth with a Prenatal Care Visit in the First Trimester, on or before the enrollment start date, or within 42 Days of Enrollment in Medicaid or CHIP</t>
        </is>
      </c>
      <c r="E5" t="inlineStr">
        <is>
          <t>Higher values are better</t>
        </is>
      </c>
      <c r="F5" t="inlineStr">
        <is>
          <t>Mathematica analysis of the Quality Measure Reporting (QMR) system reports for the FFY 2022 reporting cycle as of June 1, 2023.</t>
        </is>
      </c>
      <c r="G5" t="inlineStr">
        <is>
          <t>State-specific comments: Rate includes managed care population (16 MCOs). The state described the "other" data sources used to calculate the measure as the following: "Health Plan Billing Data." Denominator is the sample size; measure-eligible population is 87,447. Rate was audited or validated.</t>
        </is>
      </c>
      <c r="H5" s="4" t="n">
        <v>0.872</v>
      </c>
      <c r="I5" s="4" t="n">
        <v>0.8149999999999999</v>
      </c>
      <c r="J5" s="4" t="n">
        <v>0.926</v>
      </c>
      <c r="K5" s="4" t="n">
        <v>0.256</v>
      </c>
      <c r="L5" s="4" t="n">
        <v>0.752</v>
      </c>
      <c r="M5" s="4" t="n">
        <v>0.872</v>
      </c>
    </row>
    <row r="6">
      <c r="A6" t="n">
        <v>2023</v>
      </c>
      <c r="B6" t="inlineStr">
        <is>
          <t>Medicaid &amp; CHIP</t>
        </is>
      </c>
      <c r="C6" t="inlineStr">
        <is>
          <t>Hybrid</t>
        </is>
      </c>
      <c r="D6" t="inlineStr">
        <is>
          <t>Percentage of Women Delivering a Live Birth with a Prenatal Care Visit in the First Trimester, on or before the Enrollment Start Date, or within 42 Days of Enrollment in Medicaid or CHIP</t>
        </is>
      </c>
      <c r="E6" t="inlineStr">
        <is>
          <t>Higher values are better</t>
        </is>
      </c>
      <c r="F6" t="inlineStr">
        <is>
          <t>Mathematica analysis of the Quality Measure Reporting (QMR) system reports for the 2023 Core Set as of May 16, 2024.</t>
        </is>
      </c>
      <c r="G6" t="inlineStr">
        <is>
          <t>State-specific comments: Rate includes managed care population (15 MCOs). The state described the "other" data sources used to calculate the measure as the following: "Health Plan Billing Data." Denominator is the sample size; measure-eligible population is 88,825. Rate was audited or validated.</t>
        </is>
      </c>
      <c r="H6" s="4" t="n">
        <v>0.868</v>
      </c>
      <c r="I6" s="4" t="n">
        <v>0.8</v>
      </c>
      <c r="J6" s="4" t="n">
        <v>0.92</v>
      </c>
      <c r="K6" s="4" t="n">
        <v>0.265</v>
      </c>
      <c r="L6" s="4" t="n">
        <v>0.729</v>
      </c>
      <c r="M6" s="4" t="n">
        <v>0.844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12" customWidth="1" min="2" max="2"/>
    <col width="13" customWidth="1" min="3" max="3"/>
    <col width="60" customWidth="1" min="4" max="4"/>
    <col width="26" customWidth="1" min="5" max="5"/>
    <col width="60" customWidth="1" min="6" max="6"/>
    <col width="60" customWidth="1" min="7" max="7"/>
    <col width="7"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Prenatal and Postpartum Care: Postpartum Care (PPC-AD)</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2021</v>
      </c>
      <c r="B4" t="inlineStr">
        <is>
          <t>Medicaid</t>
        </is>
      </c>
      <c r="C4" t="inlineStr">
        <is>
          <t>Hybrid</t>
        </is>
      </c>
      <c r="D4" t="inlineStr">
        <is>
          <t>Percentage of Women Delivering a Live Birth who had a Postpartum Care Visit on or Between 7 and 84 Days after Delivery</t>
        </is>
      </c>
      <c r="E4" t="inlineStr">
        <is>
          <t>Higher values are better</t>
        </is>
      </c>
      <c r="F4" t="inlineStr">
        <is>
          <t>Mathematica analysis of the Quality Measure Reporting (QMR) system reports for the FFY 2021 reporting cycle as of June 1, 2023.</t>
        </is>
      </c>
      <c r="G4" t="inlineStr">
        <is>
          <t>State-specific comments: Rate includes managed care population (28 MCOs). Denominator is the sample size; measure-eligible population is 89,795. Rate was audited or validated.</t>
        </is>
      </c>
      <c r="H4" s="4" t="n">
        <v>0.759</v>
      </c>
      <c r="I4" s="4" t="n">
        <v>0.733</v>
      </c>
      <c r="J4" s="4" t="n">
        <v>0.929</v>
      </c>
      <c r="K4" s="4" t="n">
        <v>0.29</v>
      </c>
      <c r="L4" s="4" t="n">
        <v>0.639</v>
      </c>
      <c r="M4" s="4" t="n">
        <v>0.762</v>
      </c>
    </row>
    <row r="5">
      <c r="A5" t="n">
        <v>2022</v>
      </c>
      <c r="B5" t="inlineStr">
        <is>
          <t>Medicaid</t>
        </is>
      </c>
      <c r="C5" t="inlineStr">
        <is>
          <t>Hybrid</t>
        </is>
      </c>
      <c r="D5" t="inlineStr">
        <is>
          <t>Percentage of Women Delivering a Live Birth who had a Postpartum Care Visit on or Between 7 and 84 Days after Delivery</t>
        </is>
      </c>
      <c r="E5" t="inlineStr">
        <is>
          <t>Higher values are better</t>
        </is>
      </c>
      <c r="F5" t="inlineStr">
        <is>
          <t>Mathematica analysis of the Quality Measure Reporting (QMR) system reports for the FFY 2022 reporting cycle as of June 1, 2023.</t>
        </is>
      </c>
      <c r="G5" t="inlineStr">
        <is>
          <t>State-specific comments: Rate includes managed care population (28 MCOs). Denominator is the sample size; measure-eligible population is 89,003. Rate was audited or validated.</t>
        </is>
      </c>
      <c r="H5" s="4" t="n">
        <v>0.765</v>
      </c>
      <c r="I5" s="4" t="n">
        <v>0.75</v>
      </c>
      <c r="J5" s="4" t="n">
        <v>0.919</v>
      </c>
      <c r="K5" s="4" t="n">
        <v>0.306</v>
      </c>
      <c r="L5" s="4" t="n">
        <v>0.651</v>
      </c>
      <c r="M5" s="4" t="n">
        <v>0.786</v>
      </c>
    </row>
    <row r="6">
      <c r="A6" t="n">
        <v>2023</v>
      </c>
      <c r="B6" t="inlineStr">
        <is>
          <t>Medicaid</t>
        </is>
      </c>
      <c r="C6" t="inlineStr">
        <is>
          <t>Hybrid</t>
        </is>
      </c>
      <c r="D6" t="inlineStr">
        <is>
          <t>Percentage of Women Delivering a Live Birth who had a Postpartum Care Visit on or Between 7 and 84 Days after Delivery</t>
        </is>
      </c>
      <c r="E6" t="inlineStr">
        <is>
          <t>Higher values are better</t>
        </is>
      </c>
      <c r="F6" t="inlineStr">
        <is>
          <t>Mathematica analysis of the Quality Measure Reporting (QMR) system reports for the 2023 Core Set as of May 16, 2024.</t>
        </is>
      </c>
      <c r="G6" t="inlineStr">
        <is>
          <t>State-specific comments: Rate includes managed care population (26 MCOs). Denominator is the sample size; measure-eligible population is 90,218. Rate was audited or validated.</t>
        </is>
      </c>
      <c r="H6" s="4" t="n">
        <v>0.824</v>
      </c>
      <c r="I6" s="4" t="n">
        <v>0.756</v>
      </c>
      <c r="J6" s="4" t="n">
        <v>0.869</v>
      </c>
      <c r="K6" s="4" t="n">
        <v>0.301</v>
      </c>
      <c r="L6" s="4" t="n">
        <v>0.6929999999999999</v>
      </c>
      <c r="M6" s="4" t="n">
        <v>0.792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7" customWidth="1" min="1" max="1"/>
    <col width="13" customWidth="1" min="2" max="2"/>
    <col width="60" customWidth="1" min="3" max="3"/>
    <col width="25" customWidth="1" min="4" max="4"/>
    <col width="60" customWidth="1" min="5" max="5"/>
    <col width="26" customWidth="1" min="6" max="6"/>
    <col width="60" customWidth="1" min="7" max="7"/>
    <col width="60" customWidth="1" min="8" max="8"/>
    <col width="1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Prenatal and Postpartum Care: Under Age 21 (PPC2-CH)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Postpartum Care</t>
        </is>
      </c>
      <c r="B4" t="n">
        <v>2024</v>
      </c>
      <c r="C4" t="inlineStr">
        <is>
          <t>Medicaid (Title XIX), Title XXI-funded Medicaid Expansion CHIP, Separate CHIP (Title XXI)</t>
        </is>
      </c>
      <c r="D4" t="inlineStr">
        <is>
          <t>Administrative &amp; Hybrid</t>
        </is>
      </c>
      <c r="E4" t="inlineStr">
        <is>
          <t>Percentage of Women Under Age 21 Delivering a Live Birth who had a Postpartum Care Visit on or Between 7 and 84 Days after Delivery</t>
        </is>
      </c>
      <c r="F4" t="inlineStr">
        <is>
          <t>Higher values are better</t>
        </is>
      </c>
      <c r="G4" t="inlineStr">
        <is>
          <t>Mathematica analysis of the Quality Measure Reporting (QMR) system reports for the 2024 Core Set as of April 28, 2025.</t>
        </is>
      </c>
      <c r="H4" t="inlineStr">
        <is>
          <t>State-specific comments: Rate combines the Medicaid and separate CHIP data reported by the state in the QMR system. See Medicaid and separate CHIP state-specific comments for information about the data reported for each population.</t>
        </is>
      </c>
      <c r="I4" s="4" t="n">
        <v>0.6879999999999999</v>
      </c>
      <c r="J4" s="4" t="n">
        <v>0.61</v>
      </c>
      <c r="K4" s="4" t="n">
        <v>0.882</v>
      </c>
      <c r="L4" s="4" t="n">
        <v>0.119</v>
      </c>
      <c r="M4" s="4" t="n">
        <v>0.475</v>
      </c>
      <c r="N4" s="4" t="n">
        <v>0.667</v>
      </c>
    </row>
    <row r="5">
      <c r="A5" t="inlineStr">
        <is>
          <t>Postpartum Care</t>
        </is>
      </c>
      <c r="B5" t="n">
        <v>2024</v>
      </c>
      <c r="C5" t="inlineStr">
        <is>
          <t>Medicaid (Title XIX), Title XXI-funded Medicaid Expansion CHIP</t>
        </is>
      </c>
      <c r="D5" t="inlineStr">
        <is>
          <t>Administrative &amp; Hybrid</t>
        </is>
      </c>
      <c r="E5" t="inlineStr">
        <is>
          <t>Percentage of Women Under Age 21 Delivering a Live Birth who had a Postpartum Care Visit on or Between 7 and 84 Days after Delivery</t>
        </is>
      </c>
      <c r="F5" t="inlineStr">
        <is>
          <t>Higher values are better</t>
        </is>
      </c>
      <c r="G5" t="inlineStr">
        <is>
          <t>Mathematica analysis of the Quality Measure Reporting (QMR) system reports for the 2024 Core Set as of April 28, 2025.</t>
        </is>
      </c>
      <c r="H5" t="inlineStr">
        <is>
          <t>State-specific comments: Medicaid rates include FFS and managed care populations (15 MCOs). The state described the "other" data sources used to calculate the measure as the following: "Health Plan Billing Data." Rates were derived using both administrative and hybrid method data. MMIS included FFS population. Hybrid method was used for 13 MCOs; Administrative method was used for 2 MCOs. Rates were audited or validated. State noted: "The rate is weighted based on the size of the measure-eligible population for each reporting unit."</t>
        </is>
      </c>
      <c r="I5" s="4" t="n">
        <v>0.6840000000000001</v>
      </c>
      <c r="J5" s="4" t="n">
        <v>0.61</v>
      </c>
      <c r="K5" s="4" t="n">
        <v>0.882</v>
      </c>
      <c r="L5" s="4" t="n">
        <v>0.119</v>
      </c>
      <c r="M5" s="4" t="n">
        <v>0.475</v>
      </c>
      <c r="N5" s="4" t="n">
        <v>0.667</v>
      </c>
    </row>
    <row r="6">
      <c r="A6" t="inlineStr">
        <is>
          <t>Postpartum Care</t>
        </is>
      </c>
      <c r="B6" t="n">
        <v>2024</v>
      </c>
      <c r="C6" t="inlineStr">
        <is>
          <t>Separate CHIP (Title XXI)</t>
        </is>
      </c>
      <c r="D6" t="inlineStr">
        <is>
          <t>Hybrid</t>
        </is>
      </c>
      <c r="E6" t="inlineStr">
        <is>
          <t>Percentage of Women Under Age 21 Delivering a Live Birth who had a Postpartum Care Visit on or Between 7 and 84 Days after Delivery</t>
        </is>
      </c>
      <c r="F6" t="inlineStr">
        <is>
          <t>Higher values are better</t>
        </is>
      </c>
      <c r="G6" t="inlineStr">
        <is>
          <t>Mathematica analysis of the Quality Measure Reporting (QMR) system reports for the 2024 Core Set as of April 28, 2025.</t>
        </is>
      </c>
      <c r="H6" t="inlineStr">
        <is>
          <t>State-specific comments: Separate CHIP rates include managed care population (12 MCOs). The state described the "other" data sources used to calculate the measure as the following: "Health Plan Billing Data All plans reported using the hybrid method." Rates were audited or validated.</t>
        </is>
      </c>
      <c r="I6" t="inlineStr">
        <is>
          <t>Data suppressed</t>
        </is>
      </c>
      <c r="J6" s="4" t="n">
        <v>0.61</v>
      </c>
      <c r="K6" s="4" t="n">
        <v>0.882</v>
      </c>
      <c r="L6" s="4" t="n">
        <v>0.119</v>
      </c>
      <c r="M6" s="4" t="n">
        <v>0.475</v>
      </c>
      <c r="N6" s="4" t="n">
        <v>0.667</v>
      </c>
    </row>
    <row r="7">
      <c r="A7" t="inlineStr">
        <is>
          <t>Prenatal Care</t>
        </is>
      </c>
      <c r="B7" t="n">
        <v>2024</v>
      </c>
      <c r="C7" t="inlineStr">
        <is>
          <t>Medicaid (Title XIX), Title XXI-funded Medicaid Expansion CHIP, Separate CHIP (Title XXI)</t>
        </is>
      </c>
      <c r="D7" t="inlineStr">
        <is>
          <t>Administrative &amp; Hybrid</t>
        </is>
      </c>
      <c r="E7" t="inlineStr">
        <is>
          <t>Percentage of Women Under Age 21 Delivering a Live Birth with a Prenatal Care Visit in the First Trimester, on or before the Enrollment Start Date, or within 42 Days of Enrollment in Medicaid or CHIP</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0.805</v>
      </c>
      <c r="J7" s="4" t="n">
        <v>0.64</v>
      </c>
      <c r="K7" s="4" t="n">
        <v>0.839</v>
      </c>
      <c r="L7" s="4" t="n">
        <v>0.258</v>
      </c>
      <c r="M7" s="4" t="n">
        <v>0.515</v>
      </c>
      <c r="N7" s="4" t="n">
        <v>0.701</v>
      </c>
    </row>
    <row r="8">
      <c r="A8" t="inlineStr">
        <is>
          <t>Prenatal Care</t>
        </is>
      </c>
      <c r="B8" t="n">
        <v>2024</v>
      </c>
      <c r="C8" t="inlineStr">
        <is>
          <t>Medicaid (Title XIX), Title XXI-funded Medicaid Expansion CHIP</t>
        </is>
      </c>
      <c r="D8" t="inlineStr">
        <is>
          <t>Administrative &amp; Hybrid</t>
        </is>
      </c>
      <c r="E8" t="inlineStr">
        <is>
          <t>Percentage of Women Under Age 21 Delivering a Live Birth with a Prenatal Care Visit in the First Trimester, on or before the Enrollment Start Date, or within 42 Days of Enrollment in Medicaid or CHIP</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derived using both administrative and hybrid method data. MMIS included FFS population. Hybrid method was used for 13 MCOs; Administrative method was used for 2 MCOs. Rates were audited or validated. State noted: "The rate is weighted based on the size of the measure-eligible population for each reporting unit."</t>
        </is>
      </c>
      <c r="I8" s="4" t="n">
        <v>0.805</v>
      </c>
      <c r="J8" s="4" t="n">
        <v>0.64</v>
      </c>
      <c r="K8" s="4" t="n">
        <v>0.839</v>
      </c>
      <c r="L8" s="4" t="n">
        <v>0.258</v>
      </c>
      <c r="M8" s="4" t="n">
        <v>0.515</v>
      </c>
      <c r="N8" s="4" t="n">
        <v>0.701</v>
      </c>
    </row>
    <row r="9">
      <c r="A9" t="inlineStr">
        <is>
          <t>Prenatal Care</t>
        </is>
      </c>
      <c r="B9" t="n">
        <v>2024</v>
      </c>
      <c r="C9" t="inlineStr">
        <is>
          <t>Separate CHIP (Title XXI)</t>
        </is>
      </c>
      <c r="D9" t="inlineStr">
        <is>
          <t>Hybrid</t>
        </is>
      </c>
      <c r="E9" t="inlineStr">
        <is>
          <t>Percentage of Women Under Age 21 Delivering a Live Birth with a Prenatal Care Visit in the First Trimester, on or before the Enrollment Start Date, or within 42 Days of Enrollment in Medicaid or CHIP</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All plans reported using the hybrid method." Rates were audited or validated.</t>
        </is>
      </c>
      <c r="I9" t="inlineStr">
        <is>
          <t>Data suppressed</t>
        </is>
      </c>
      <c r="J9" s="4" t="n">
        <v>0.64</v>
      </c>
      <c r="K9" s="4" t="n">
        <v>0.839</v>
      </c>
      <c r="L9" s="4" t="n">
        <v>0.258</v>
      </c>
      <c r="M9" s="4" t="n">
        <v>0.515</v>
      </c>
      <c r="N9" s="4" t="n">
        <v>0.701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7" customWidth="1" min="1" max="1"/>
    <col width="13" customWidth="1" min="2" max="2"/>
    <col width="22"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Prenatal and Postpartum Care: Age 21 and Older (PPC2-AD)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Postpartum Care</t>
        </is>
      </c>
      <c r="B4" t="n">
        <v>2024</v>
      </c>
      <c r="C4" t="inlineStr">
        <is>
          <t>Medicaid (Title XIX)</t>
        </is>
      </c>
      <c r="D4" t="inlineStr">
        <is>
          <t>Hybrid</t>
        </is>
      </c>
      <c r="E4" t="inlineStr">
        <is>
          <t>Percentage of Women Age 21 and Older Delivering a Live Birth who had a Postpartum Care Visit on or Between 7 and 84 Days after Delivery</t>
        </is>
      </c>
      <c r="F4" t="inlineStr">
        <is>
          <t>Higher values are better</t>
        </is>
      </c>
      <c r="G4" t="inlineStr">
        <is>
          <t>Mathematica analysis of the Quality Measure Reporting (QMR) system reports for the 2024 Core Set as of April 28, 2025.</t>
        </is>
      </c>
      <c r="H4" t="inlineStr">
        <is>
          <t>State-specific comments: Rates include managed care population (26 MCOs). Rates were audited or validated.</t>
        </is>
      </c>
      <c r="I4" s="4" t="n">
        <v>0.844</v>
      </c>
      <c r="J4" s="4" t="n">
        <v>0.645</v>
      </c>
      <c r="K4" s="4" t="n">
        <v>0.951</v>
      </c>
      <c r="L4" s="4" t="n">
        <v>0.156</v>
      </c>
      <c r="M4" s="4" t="n">
        <v>0.593</v>
      </c>
      <c r="N4" s="4" t="n">
        <v>0.735</v>
      </c>
    </row>
    <row r="5">
      <c r="A5" t="inlineStr">
        <is>
          <t>Prenatal Care</t>
        </is>
      </c>
      <c r="B5" t="n">
        <v>2024</v>
      </c>
      <c r="C5" t="inlineStr">
        <is>
          <t>Medicaid (Title XIX)</t>
        </is>
      </c>
      <c r="D5" t="inlineStr">
        <is>
          <t>Hybrid</t>
        </is>
      </c>
      <c r="E5" t="inlineStr">
        <is>
          <t>Percentage of Women Age 21 and Older Delivering a Live Birth with a Prenatal Care Visit in the First Trimester, on or before the Enrollment Start Date, or within 42 Days of Enrollment in Medicaid or CHIP</t>
        </is>
      </c>
      <c r="F5" t="inlineStr">
        <is>
          <t>Higher values are better</t>
        </is>
      </c>
      <c r="G5" t="inlineStr">
        <is>
          <t>Mathematica analysis of the Quality Measure Reporting (QMR) system reports for the 2024 Core Set as of April 28, 2025.</t>
        </is>
      </c>
      <c r="H5" t="inlineStr">
        <is>
          <t>State-specific comments: Rates include managed care population (26 MCOs). Rates were audited or validated.</t>
        </is>
      </c>
      <c r="I5" s="4" t="n">
        <v>0.882</v>
      </c>
      <c r="J5" s="4" t="n">
        <v>0.718</v>
      </c>
      <c r="K5" s="4" t="n">
        <v>0.984</v>
      </c>
      <c r="L5" s="4" t="n">
        <v>0.35</v>
      </c>
      <c r="M5" s="4" t="n">
        <v>0.603</v>
      </c>
      <c r="N5" s="4" t="n">
        <v>0.805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5" customWidth="1" min="1" max="1"/>
    <col width="60" customWidth="1" min="2" max="2"/>
    <col width="16" customWidth="1" min="3" max="3"/>
    <col width="60" customWidth="1" min="4" max="4"/>
    <col width="60" customWidth="1" min="5" max="5"/>
    <col width="60" customWidth="1" min="6" max="6"/>
    <col width="60" customWidth="1" min="7" max="7"/>
    <col width="8" customWidth="1" min="8" max="8"/>
    <col width="9" customWidth="1" min="9" max="9"/>
    <col width="9" customWidth="1" min="10" max="10"/>
    <col width="16" customWidth="1" min="11" max="11"/>
    <col width="16" customWidth="1" min="12" max="12"/>
  </cols>
  <sheetData>
    <row r="1">
      <c r="A1" t="inlineStr">
        <is>
          <t>Measure Name</t>
        </is>
      </c>
      <c r="B1" t="inlineStr">
        <is>
          <t>Screening for Depression and Follow-Up Plan: Ages 12 to 17 (CDF-CH)</t>
        </is>
      </c>
    </row>
    <row r="2"/>
    <row r="3">
      <c r="A3" s="1" t="inlineStr">
        <is>
          <t>Data Period</t>
        </is>
      </c>
      <c r="B3" s="1" t="inlineStr">
        <is>
          <t>Population</t>
        </is>
      </c>
      <c r="C3" s="1" t="inlineStr">
        <is>
          <t>Methodology</t>
        </is>
      </c>
      <c r="D3" s="1" t="inlineStr">
        <is>
          <t>Value Type</t>
        </is>
      </c>
      <c r="E3" s="1" t="inlineStr">
        <is>
          <t>Analysis Source</t>
        </is>
      </c>
      <c r="F3" s="1" t="inlineStr">
        <is>
          <t>Notes</t>
        </is>
      </c>
      <c r="G3" s="1" t="inlineStr">
        <is>
          <t>Value</t>
        </is>
      </c>
      <c r="H3" s="1" t="inlineStr">
        <is>
          <t>Median</t>
        </is>
      </c>
      <c r="I3" s="1" t="inlineStr">
        <is>
          <t>Maximum</t>
        </is>
      </c>
      <c r="J3" s="1" t="inlineStr">
        <is>
          <t>Minimum</t>
        </is>
      </c>
      <c r="K3" s="1" t="inlineStr">
        <is>
          <t>First quartile</t>
        </is>
      </c>
      <c r="L3" s="1" t="inlineStr">
        <is>
          <t>Third quartile</t>
        </is>
      </c>
    </row>
    <row r="4">
      <c r="A4" t="n">
        <v>2024</v>
      </c>
      <c r="B4" t="inlineStr">
        <is>
          <t>Medicaid (Title XIX), Title XXI-funded Medicaid Expansion CHIP, Separate CHIP (Title XXI)</t>
        </is>
      </c>
      <c r="C4" t="inlineStr">
        <is>
          <t>Administrative</t>
        </is>
      </c>
      <c r="D4" t="inlineStr">
        <is>
          <t>Percentage Screened for Depression and, if Positive, Provided a Follow-Up Plan: Ages 12 to 17</t>
        </is>
      </c>
      <c r="E4" t="inlineStr">
        <is>
          <t>Mathematica analysis of the Quality Measure Reporting (QMR) system reports for the 2024 Core Set as of April 28, 2025.</t>
        </is>
      </c>
      <c r="F4" t="inlineStr">
        <is>
          <t>State-specific comments: Rate combines the Medicaid and separate CHIP data reported by the state in the QMR system. See Medicaid and separate CHIP state-specific comments for information about the data reported for each population.</t>
        </is>
      </c>
      <c r="G4" t="inlineStr">
        <is>
          <t>Reported by state (CMS is not reporting state performance for this measure)</t>
        </is>
      </c>
      <c r="H4" s="4" t="n">
        <v>0.02</v>
      </c>
      <c r="I4" s="4" t="n">
        <v>0.465</v>
      </c>
      <c r="J4" s="4" t="n">
        <v>0</v>
      </c>
      <c r="K4" s="4" t="n">
        <v>0.005</v>
      </c>
      <c r="L4" s="4" t="n">
        <v>0.08699999999999999</v>
      </c>
    </row>
    <row r="5">
      <c r="A5" t="n">
        <v>2024</v>
      </c>
      <c r="B5" t="inlineStr">
        <is>
          <t>Medicaid (Title XIX), Title XXI-funded Medicaid Expansion CHIP</t>
        </is>
      </c>
      <c r="C5" t="inlineStr">
        <is>
          <t>Administrative</t>
        </is>
      </c>
      <c r="D5" t="inlineStr">
        <is>
          <t>Percentage Screened for Depression and, if Positive, Provided a Follow-Up Plan: Ages 12 to 17</t>
        </is>
      </c>
      <c r="E5" t="inlineStr">
        <is>
          <t>Mathematica analysis of the Quality Measure Reporting (QMR) system reports for the 2024 Core Set as of April 28, 2025.</t>
        </is>
      </c>
      <c r="F5" t="inlineStr">
        <is>
          <t>State-specific comments: Medicaid rate includes FFS and managed care populations (15 MCOs). Rate was audited or validated.</t>
        </is>
      </c>
      <c r="G5" t="inlineStr">
        <is>
          <t>Reported by state (CMS is not reporting state performance for this measure)</t>
        </is>
      </c>
      <c r="H5" s="4" t="n">
        <v>0.02</v>
      </c>
      <c r="I5" s="4" t="n">
        <v>0.465</v>
      </c>
      <c r="J5" s="4" t="n">
        <v>0</v>
      </c>
      <c r="K5" s="4" t="n">
        <v>0.005</v>
      </c>
      <c r="L5" s="4" t="n">
        <v>0.08699999999999999</v>
      </c>
    </row>
    <row r="6">
      <c r="A6" t="n">
        <v>2024</v>
      </c>
      <c r="B6" t="inlineStr">
        <is>
          <t>Separate CHIP (Title XXI)</t>
        </is>
      </c>
      <c r="C6" t="inlineStr">
        <is>
          <t>Administrative</t>
        </is>
      </c>
      <c r="D6" t="inlineStr">
        <is>
          <t>Percentage Screened for Depression and, if Positive, Provided a Follow-Up Plan: Ages 12 to 17</t>
        </is>
      </c>
      <c r="E6" t="inlineStr">
        <is>
          <t>Mathematica analysis of the Quality Measure Reporting (QMR) system reports for the 2024 Core Set as of April 28, 2025.</t>
        </is>
      </c>
      <c r="F6" t="inlineStr">
        <is>
          <t>State-specific comments: Separate CHIP rate includes managed care population (12 MCOs). The state described the "other" data sources used to calculate the measure as the following: "New York State All Payer Database." Rate was audited or validated.</t>
        </is>
      </c>
      <c r="G6" t="inlineStr">
        <is>
          <t>Reported by state (CMS is not reporting state performance for this measure)</t>
        </is>
      </c>
      <c r="H6" s="4" t="n">
        <v>0.02</v>
      </c>
      <c r="I6" s="4" t="n">
        <v>0.465</v>
      </c>
      <c r="J6" s="4" t="n">
        <v>0</v>
      </c>
      <c r="K6" s="4" t="n">
        <v>0.005</v>
      </c>
      <c r="L6" s="4" t="n">
        <v>0.08699999999999999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60" customWidth="1" min="5" max="5"/>
    <col width="60" customWidth="1" min="6" max="6"/>
    <col width="60" customWidth="1" min="7" max="7"/>
    <col width="8" customWidth="1" min="8" max="8"/>
    <col width="9" customWidth="1" min="9" max="9"/>
    <col width="9" customWidth="1" min="10" max="10"/>
    <col width="16" customWidth="1" min="11" max="11"/>
    <col width="16" customWidth="1" min="12" max="12"/>
  </cols>
  <sheetData>
    <row r="1">
      <c r="A1" t="inlineStr">
        <is>
          <t>Measure Name</t>
        </is>
      </c>
      <c r="B1" t="inlineStr">
        <is>
          <t>Screening for Depression and Follow-Up Plan: Age 18 and Older (CDF-AD)</t>
        </is>
      </c>
    </row>
    <row r="2"/>
    <row r="3">
      <c r="A3" s="1" t="inlineStr">
        <is>
          <t>Data Period</t>
        </is>
      </c>
      <c r="B3" s="1" t="inlineStr">
        <is>
          <t>Population</t>
        </is>
      </c>
      <c r="C3" s="1" t="inlineStr">
        <is>
          <t>Methodology</t>
        </is>
      </c>
      <c r="D3" s="1" t="inlineStr">
        <is>
          <t>Value Type</t>
        </is>
      </c>
      <c r="E3" s="1" t="inlineStr">
        <is>
          <t>Analysis Source</t>
        </is>
      </c>
      <c r="F3" s="1" t="inlineStr">
        <is>
          <t>Notes</t>
        </is>
      </c>
      <c r="G3" s="1" t="inlineStr">
        <is>
          <t>Value</t>
        </is>
      </c>
      <c r="H3" s="1" t="inlineStr">
        <is>
          <t>Median</t>
        </is>
      </c>
      <c r="I3" s="1" t="inlineStr">
        <is>
          <t>Maximum</t>
        </is>
      </c>
      <c r="J3" s="1" t="inlineStr">
        <is>
          <t>Minimum</t>
        </is>
      </c>
      <c r="K3" s="1" t="inlineStr">
        <is>
          <t>First quartile</t>
        </is>
      </c>
      <c r="L3" s="1" t="inlineStr">
        <is>
          <t>Third quartile</t>
        </is>
      </c>
    </row>
    <row r="4">
      <c r="A4" t="n">
        <v>2024</v>
      </c>
      <c r="B4" t="inlineStr">
        <is>
          <t>Medicaid (Title XIX)</t>
        </is>
      </c>
      <c r="C4" t="inlineStr">
        <is>
          <t>Administrative</t>
        </is>
      </c>
      <c r="D4" t="inlineStr">
        <is>
          <t>Percentage Screened for Depression and, if Positive, Provided a Follow-Up Plan: Ages 18 to 64</t>
        </is>
      </c>
      <c r="E4" t="inlineStr">
        <is>
          <t>Mathematica analysis of the Quality Measure Reporting (QMR) system reports for the 2024 Core Set as of April 28, 2025.</t>
        </is>
      </c>
      <c r="F4" t="inlineStr">
        <is>
          <t>State-specific comments: Rate includes FFS and managed care populations (59 MCOs). Rate was audited or validated.</t>
        </is>
      </c>
      <c r="G4" t="inlineStr">
        <is>
          <t>Reported by state (CMS is not reporting state performance for this measure)</t>
        </is>
      </c>
      <c r="H4" s="4" t="n">
        <v>0.02</v>
      </c>
      <c r="I4" s="4" t="n">
        <v>0.339</v>
      </c>
      <c r="J4" s="4" t="n">
        <v>0</v>
      </c>
      <c r="K4" s="4" t="n">
        <v>0.004</v>
      </c>
      <c r="L4" s="4" t="n">
        <v>0.051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7" customWidth="1" min="1" max="1"/>
    <col width="13" customWidth="1" min="2" max="2"/>
    <col width="60" customWidth="1" min="3" max="3"/>
    <col width="16" customWidth="1" min="4" max="4"/>
    <col width="60" customWidth="1" min="5" max="5"/>
    <col width="26" customWidth="1" min="6" max="6"/>
    <col width="60" customWidth="1" min="7" max="7"/>
    <col width="60" customWidth="1" min="8" max="8"/>
    <col width="23"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Sealant Receipt on Permanent First Molars: Age 10 (SFM-CH)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All Four Molars Sealed</t>
        </is>
      </c>
      <c r="B4" t="n">
        <v>2021</v>
      </c>
      <c r="C4" t="inlineStr">
        <is>
          <t>Medicaid only</t>
        </is>
      </c>
      <c r="D4" t="inlineStr">
        <is>
          <t>Administrative</t>
        </is>
      </c>
      <c r="E4" t="inlineStr">
        <is>
          <t>Percentage who Received Sealants on All Four Permanent First Molars by their 10th Birthday</t>
        </is>
      </c>
      <c r="F4" t="inlineStr">
        <is>
          <t>Higher values are better</t>
        </is>
      </c>
      <c r="G4" t="inlineStr">
        <is>
          <t>Mathematica analysis of the Quality Measure Reporting (QMR) system reports for the FFY 2021 reporting cycle as of June 1, 2023.</t>
        </is>
      </c>
      <c r="H4" t="inlineStr">
        <is>
          <t>State-specific comments: Medicaid rates include managed care population (24 MCOs). Rates were audited or validated.</t>
        </is>
      </c>
      <c r="I4" s="4" t="n">
        <v>0.134</v>
      </c>
      <c r="J4" s="4" t="n">
        <v>0.357</v>
      </c>
      <c r="K4" s="4" t="n">
        <v>0.663</v>
      </c>
      <c r="L4" s="4" t="n">
        <v>0.03</v>
      </c>
      <c r="M4" s="4" t="n">
        <v>0.218</v>
      </c>
      <c r="N4" s="4" t="n">
        <v>0.43</v>
      </c>
    </row>
    <row r="5">
      <c r="A5" t="inlineStr">
        <is>
          <t>All Four Molars Sealed</t>
        </is>
      </c>
      <c r="B5" t="n">
        <v>2022</v>
      </c>
      <c r="C5" t="inlineStr">
        <is>
          <t>Medicaid only</t>
        </is>
      </c>
      <c r="D5" t="inlineStr">
        <is>
          <t>Administrative</t>
        </is>
      </c>
      <c r="E5" t="inlineStr">
        <is>
          <t>Percentage who Received Sealants on All Four Permanent First Molars by their 10th Birthday</t>
        </is>
      </c>
      <c r="F5" t="inlineStr">
        <is>
          <t>Higher values are better</t>
        </is>
      </c>
      <c r="G5" t="inlineStr">
        <is>
          <t>Mathematica analysis of the Quality Measure Reporting (QMR) system reports for the FFY 2022 reporting cycle as of June 1, 2023.</t>
        </is>
      </c>
      <c r="H5" t="inlineStr">
        <is>
          <t>State-specific comments: Medicaid rates include managed care population (23 MCOs). Rates were audited or validated.</t>
        </is>
      </c>
      <c r="I5" s="4" t="n">
        <v>0.127</v>
      </c>
      <c r="J5" s="4" t="n">
        <v>0.329</v>
      </c>
      <c r="K5" s="4" t="n">
        <v>0.624</v>
      </c>
      <c r="L5" s="4" t="n">
        <v>0.035</v>
      </c>
      <c r="M5" s="4" t="n">
        <v>0.236</v>
      </c>
      <c r="N5" s="4" t="n">
        <v>0.4</v>
      </c>
    </row>
    <row r="6">
      <c r="A6" t="inlineStr">
        <is>
          <t>All Four Molars Sealed</t>
        </is>
      </c>
      <c r="B6" t="n">
        <v>2023</v>
      </c>
      <c r="C6" t="inlineStr"/>
      <c r="D6" t="inlineStr"/>
      <c r="E6" t="inlineStr">
        <is>
          <t>Percentage who Received Sealants on All Four Permanent First Molars by their 10th Birthday</t>
        </is>
      </c>
      <c r="F6" t="inlineStr">
        <is>
          <t>Higher values are better</t>
        </is>
      </c>
      <c r="G6" t="inlineStr">
        <is>
          <t>Mathematica analysis of the Quality Measure Reporting (QMR) system reports for the 2023 Core Set as of May 16, 2024.</t>
        </is>
      </c>
      <c r="H6" t="inlineStr"/>
      <c r="I6" t="inlineStr">
        <is>
          <t>Not reported by state</t>
        </is>
      </c>
      <c r="J6" s="4" t="n">
        <v>0.354</v>
      </c>
      <c r="K6" s="4" t="n">
        <v>0.608</v>
      </c>
      <c r="L6" s="4" t="n">
        <v>0.003</v>
      </c>
      <c r="M6" s="4" t="n">
        <v>0.296</v>
      </c>
      <c r="N6" s="4" t="n">
        <v>0.422</v>
      </c>
    </row>
    <row r="7">
      <c r="A7" t="inlineStr">
        <is>
          <t>All Four Molars Sealed</t>
        </is>
      </c>
      <c r="B7" t="n">
        <v>2024</v>
      </c>
      <c r="C7" t="inlineStr">
        <is>
          <t>Medicaid (Title XIX), Title XXI-funded Medicaid Expansion CHIP, Separate CHIP (Title XXI)</t>
        </is>
      </c>
      <c r="D7" t="inlineStr">
        <is>
          <t>Administrative</t>
        </is>
      </c>
      <c r="E7" t="inlineStr">
        <is>
          <t>Percentage who Received Sealants on All Four Permanent First Molars by their 10th Birthday</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0.162</v>
      </c>
      <c r="J7" s="4" t="n">
        <v>0.345</v>
      </c>
      <c r="K7" s="4" t="n">
        <v>0.592</v>
      </c>
      <c r="L7" s="4" t="n">
        <v>0.022</v>
      </c>
      <c r="M7" s="4" t="n">
        <v>0.269</v>
      </c>
      <c r="N7" s="4" t="n">
        <v>0.405</v>
      </c>
    </row>
    <row r="8">
      <c r="A8" t="inlineStr">
        <is>
          <t>All Four Molars Sealed</t>
        </is>
      </c>
      <c r="B8" t="n">
        <v>2024</v>
      </c>
      <c r="C8" t="inlineStr">
        <is>
          <t>Medicaid (Title XIX), Title XXI-funded Medicaid Expansion CHIP</t>
        </is>
      </c>
      <c r="D8" t="inlineStr">
        <is>
          <t>Administrative</t>
        </is>
      </c>
      <c r="E8" t="inlineStr">
        <is>
          <t>Percentage who Received Sealants on All Four Permanent First Molars by their 10th Birthday</t>
        </is>
      </c>
      <c r="F8" t="inlineStr">
        <is>
          <t>Higher values are better</t>
        </is>
      </c>
      <c r="G8" t="inlineStr">
        <is>
          <t>Mathematica analysis of the Quality Measure Reporting (QMR) system reports for the 2024 Core Set as of April 28, 2025.</t>
        </is>
      </c>
      <c r="H8" t="inlineStr">
        <is>
          <t>State-specific comments: Medicaid rates include managed care population (15 MCOs). The state described the "other" data sources used to calculate the measure as the following: "Health Plan Billing Data." Rates were audited or validated.</t>
        </is>
      </c>
      <c r="I8" s="4" t="n">
        <v>0.16</v>
      </c>
      <c r="J8" s="4" t="n">
        <v>0.345</v>
      </c>
      <c r="K8" s="4" t="n">
        <v>0.592</v>
      </c>
      <c r="L8" s="4" t="n">
        <v>0.022</v>
      </c>
      <c r="M8" s="4" t="n">
        <v>0.269</v>
      </c>
      <c r="N8" s="4" t="n">
        <v>0.405</v>
      </c>
    </row>
    <row r="9">
      <c r="A9" t="inlineStr">
        <is>
          <t>All Four Molars Sealed</t>
        </is>
      </c>
      <c r="B9" t="n">
        <v>2024</v>
      </c>
      <c r="C9" t="inlineStr">
        <is>
          <t>Separate CHIP (Title XXI)</t>
        </is>
      </c>
      <c r="D9" t="inlineStr">
        <is>
          <t>Administrative</t>
        </is>
      </c>
      <c r="E9" t="inlineStr">
        <is>
          <t>Percentage who Received Sealants on All Four Permanent First Molars by their 10th Birthday</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"New York State All Payer Database." Rates were audited or validated.</t>
        </is>
      </c>
      <c r="I9" s="4" t="n">
        <v>0.176</v>
      </c>
      <c r="J9" s="4" t="n">
        <v>0.345</v>
      </c>
      <c r="K9" s="4" t="n">
        <v>0.592</v>
      </c>
      <c r="L9" s="4" t="n">
        <v>0.022</v>
      </c>
      <c r="M9" s="4" t="n">
        <v>0.269</v>
      </c>
      <c r="N9" s="4" t="n">
        <v>0.405</v>
      </c>
    </row>
    <row r="10">
      <c r="A10" t="inlineStr">
        <is>
          <t>At Least One Molar Sealed</t>
        </is>
      </c>
      <c r="B10" t="n">
        <v>2021</v>
      </c>
      <c r="C10" t="inlineStr">
        <is>
          <t>Medicaid only</t>
        </is>
      </c>
      <c r="D10" t="inlineStr">
        <is>
          <t>Administrative</t>
        </is>
      </c>
      <c r="E10" t="inlineStr">
        <is>
          <t>Percentage who Received a Sealant on at Least One Permanent First Molar Tooth by their 10th Birthday</t>
        </is>
      </c>
      <c r="F10" t="inlineStr">
        <is>
          <t>Higher values are better</t>
        </is>
      </c>
      <c r="G10" t="inlineStr">
        <is>
          <t>Mathematica analysis of the Quality Measure Reporting (QMR) system reports for the FFY 2021 reporting cycle as of June 1, 2023.</t>
        </is>
      </c>
      <c r="H10" t="inlineStr">
        <is>
          <t>State-specific comments: Medicaid rates include managed care population (24 MCOs). Rates were audited or validated.</t>
        </is>
      </c>
      <c r="I10" s="4" t="n">
        <v>0.491</v>
      </c>
      <c r="J10" s="4" t="n">
        <v>0.492</v>
      </c>
      <c r="K10" s="4" t="n">
        <v>0.756</v>
      </c>
      <c r="L10" s="4" t="n">
        <v>0.06900000000000001</v>
      </c>
      <c r="M10" s="4" t="n">
        <v>0.324</v>
      </c>
      <c r="N10" s="4" t="n">
        <v>0.607</v>
      </c>
    </row>
    <row r="11">
      <c r="A11" t="inlineStr">
        <is>
          <t>At Least One Molar Sealed</t>
        </is>
      </c>
      <c r="B11" t="n">
        <v>2022</v>
      </c>
      <c r="C11" t="inlineStr">
        <is>
          <t>Medicaid only</t>
        </is>
      </c>
      <c r="D11" t="inlineStr">
        <is>
          <t>Administrative</t>
        </is>
      </c>
      <c r="E11" t="inlineStr">
        <is>
          <t>Percentage who Received a Sealant on at Least One Permanent First Molar Tooth by their 10th Birthday</t>
        </is>
      </c>
      <c r="F11" t="inlineStr">
        <is>
          <t>Higher values are better</t>
        </is>
      </c>
      <c r="G11" t="inlineStr">
        <is>
          <t>Mathematica analysis of the Quality Measure Reporting (QMR) system reports for the FFY 2022 reporting cycle as of June 1, 2023.</t>
        </is>
      </c>
      <c r="H11" t="inlineStr">
        <is>
          <t>State-specific comments: Medicaid rates include managed care population (23 MCOs). Rates were audited or validated.</t>
        </is>
      </c>
      <c r="I11" s="4" t="n">
        <v>0.454</v>
      </c>
      <c r="J11" s="4" t="n">
        <v>0.464</v>
      </c>
      <c r="K11" s="4" t="n">
        <v>0.715</v>
      </c>
      <c r="L11" s="4" t="n">
        <v>0.076</v>
      </c>
      <c r="M11" s="4" t="n">
        <v>0.384</v>
      </c>
      <c r="N11" s="4" t="n">
        <v>0.573</v>
      </c>
    </row>
    <row r="12">
      <c r="A12" t="inlineStr">
        <is>
          <t>At Least One Molar Sealed</t>
        </is>
      </c>
      <c r="B12" t="n">
        <v>2023</v>
      </c>
      <c r="C12" t="inlineStr"/>
      <c r="D12" t="inlineStr"/>
      <c r="E12" t="inlineStr">
        <is>
          <t>Percentage who Received a Sealant on at Least One Permanent First Molar Tooth by their 10th Birthday</t>
        </is>
      </c>
      <c r="F12" t="inlineStr">
        <is>
          <t>Higher values are better</t>
        </is>
      </c>
      <c r="G12" t="inlineStr">
        <is>
          <t>Mathematica analysis of the Quality Measure Reporting (QMR) system reports for the 2023 Core Set as of May 16, 2024.</t>
        </is>
      </c>
      <c r="H12" t="inlineStr"/>
      <c r="I12" t="inlineStr">
        <is>
          <t>Not reported by state</t>
        </is>
      </c>
      <c r="J12" s="4" t="n">
        <v>0.483</v>
      </c>
      <c r="K12" s="4" t="n">
        <v>0.695</v>
      </c>
      <c r="L12" s="4" t="n">
        <v>0.025</v>
      </c>
      <c r="M12" s="4" t="n">
        <v>0.398</v>
      </c>
      <c r="N12" s="4" t="n">
        <v>0.571</v>
      </c>
    </row>
    <row r="13">
      <c r="A13" t="inlineStr">
        <is>
          <t>At Least One Molar Sealed</t>
        </is>
      </c>
      <c r="B13" t="n">
        <v>2024</v>
      </c>
      <c r="C13" t="inlineStr">
        <is>
          <t>Medicaid (Title XIX), Title XXI-funded Medicaid Expansion CHIP, Separate CHIP (Title XXI)</t>
        </is>
      </c>
      <c r="D13" t="inlineStr">
        <is>
          <t>Administrative</t>
        </is>
      </c>
      <c r="E13" t="inlineStr">
        <is>
          <t>Percentage who Received a Sealant on at Least One Permanent First Molar Tooth by their 10th Birthday</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0.466</v>
      </c>
      <c r="J13" s="4" t="n">
        <v>0.503</v>
      </c>
      <c r="K13" s="4" t="n">
        <v>0.664</v>
      </c>
      <c r="L13" s="4" t="n">
        <v>0.05</v>
      </c>
      <c r="M13" s="4" t="n">
        <v>0.397</v>
      </c>
      <c r="N13" s="4" t="n">
        <v>0.5679999999999999</v>
      </c>
    </row>
    <row r="14">
      <c r="A14" t="inlineStr">
        <is>
          <t>At Least One Molar Sealed</t>
        </is>
      </c>
      <c r="B14" t="n">
        <v>2024</v>
      </c>
      <c r="C14" t="inlineStr">
        <is>
          <t>Medicaid (Title XIX), Title XXI-funded Medicaid Expansion CHIP</t>
        </is>
      </c>
      <c r="D14" t="inlineStr">
        <is>
          <t>Administrative</t>
        </is>
      </c>
      <c r="E14" t="inlineStr">
        <is>
          <t>Percentage who Received a Sealant on at Least One Permanent First Molar Tooth by their 10th Birthday</t>
        </is>
      </c>
      <c r="F14" t="inlineStr">
        <is>
          <t>Higher values are better</t>
        </is>
      </c>
      <c r="G14" t="inlineStr">
        <is>
          <t>Mathematica analysis of the Quality Measure Reporting (QMR) system reports for the 2024 Core Set as of April 28, 2025.</t>
        </is>
      </c>
      <c r="H14" t="inlineStr">
        <is>
          <t>State-specific comments: Medicaid rates include managed care population (15 MCOs). The state described the "other" data sources used to calculate the measure as the following: "Health Plan Billing Data." Rates were audited or validated.</t>
        </is>
      </c>
      <c r="I14" s="4" t="n">
        <v>0.457</v>
      </c>
      <c r="J14" s="4" t="n">
        <v>0.503</v>
      </c>
      <c r="K14" s="4" t="n">
        <v>0.664</v>
      </c>
      <c r="L14" s="4" t="n">
        <v>0.05</v>
      </c>
      <c r="M14" s="4" t="n">
        <v>0.397</v>
      </c>
      <c r="N14" s="4" t="n">
        <v>0.5679999999999999</v>
      </c>
    </row>
    <row r="15">
      <c r="A15" t="inlineStr">
        <is>
          <t>At Least One Molar Sealed</t>
        </is>
      </c>
      <c r="B15" t="n">
        <v>2024</v>
      </c>
      <c r="C15" t="inlineStr">
        <is>
          <t>Separate CHIP (Title XXI)</t>
        </is>
      </c>
      <c r="D15" t="inlineStr">
        <is>
          <t>Administrative</t>
        </is>
      </c>
      <c r="E15" t="inlineStr">
        <is>
          <t>Percentage who Received a Sealant on at Least One Permanent First Molar Tooth by their 10th Birthday</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"New York State All Payer Database." Rates were audited or validated.</t>
        </is>
      </c>
      <c r="I15" s="4" t="n">
        <v>0.518</v>
      </c>
      <c r="J15" s="4" t="n">
        <v>0.503</v>
      </c>
      <c r="K15" s="4" t="n">
        <v>0.664</v>
      </c>
      <c r="L15" s="4" t="n">
        <v>0.05</v>
      </c>
      <c r="M15" s="4" t="n">
        <v>0.397</v>
      </c>
      <c r="N15" s="4" t="n">
        <v>0.5679999999999999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5" customWidth="1" min="1" max="1"/>
    <col width="22" customWidth="1" min="2" max="2"/>
    <col width="16" customWidth="1" min="3" max="3"/>
    <col width="60" customWidth="1" min="4" max="4"/>
    <col width="26" customWidth="1" min="5" max="5"/>
    <col width="60" customWidth="1" min="6" max="6"/>
    <col width="60" customWidth="1" min="7" max="7"/>
    <col width="23" customWidth="1" min="8" max="8"/>
    <col width="8" customWidth="1" min="9" max="9"/>
    <col width="9" customWidth="1" min="10" max="10"/>
    <col width="9" customWidth="1" min="11" max="11"/>
    <col width="16" customWidth="1" min="12" max="12"/>
    <col width="16" customWidth="1" min="13" max="13"/>
  </cols>
  <sheetData>
    <row r="1">
      <c r="A1" t="inlineStr">
        <is>
          <t>Measure Name</t>
        </is>
      </c>
      <c r="B1" t="inlineStr">
        <is>
          <t>Topical Fluoride for Children: Ages 1 through 20 (TFL-CH)</t>
        </is>
      </c>
    </row>
    <row r="2"/>
    <row r="3">
      <c r="A3" s="1" t="inlineStr">
        <is>
          <t>Data Period</t>
        </is>
      </c>
      <c r="B3" s="1" t="inlineStr">
        <is>
          <t>Population</t>
        </is>
      </c>
      <c r="C3" s="1" t="inlineStr">
        <is>
          <t>Methodology</t>
        </is>
      </c>
      <c r="D3" s="1" t="inlineStr">
        <is>
          <t>Value Type</t>
        </is>
      </c>
      <c r="E3" s="1" t="inlineStr">
        <is>
          <t>Value Directionality</t>
        </is>
      </c>
      <c r="F3" s="1" t="inlineStr">
        <is>
          <t>Analysis Source</t>
        </is>
      </c>
      <c r="G3" s="1" t="inlineStr">
        <is>
          <t>Notes</t>
        </is>
      </c>
      <c r="H3" s="1" t="inlineStr">
        <is>
          <t>Value</t>
        </is>
      </c>
      <c r="I3" s="1" t="inlineStr">
        <is>
          <t>Median</t>
        </is>
      </c>
      <c r="J3" s="1" t="inlineStr">
        <is>
          <t>Maximum</t>
        </is>
      </c>
      <c r="K3" s="1" t="inlineStr">
        <is>
          <t>Minimum</t>
        </is>
      </c>
      <c r="L3" s="1" t="inlineStr">
        <is>
          <t>First quartile</t>
        </is>
      </c>
      <c r="M3" s="1" t="inlineStr">
        <is>
          <t>Third quartile</t>
        </is>
      </c>
    </row>
    <row r="4">
      <c r="A4" t="n">
        <v>2022</v>
      </c>
      <c r="B4" t="inlineStr"/>
      <c r="C4" t="inlineStr"/>
      <c r="D4" t="inlineStr">
        <is>
          <t>Percentage of Enrolled Children who Received at Least Two Topical Fluoride Applications as Dental or Oral Health Services: Total (Ages 1 through 20)</t>
        </is>
      </c>
      <c r="E4" t="inlineStr">
        <is>
          <t>Higher values are better</t>
        </is>
      </c>
      <c r="F4" t="inlineStr">
        <is>
          <t>Mathematica analysis of the Quality Measure Reporting (QMR) system reports for the FFY 2022 reporting cycle as of June 1, 2023.</t>
        </is>
      </c>
      <c r="G4" t="inlineStr"/>
      <c r="H4" t="inlineStr">
        <is>
          <t>Not reported by state</t>
        </is>
      </c>
      <c r="I4" s="4" t="n">
        <v>0.193</v>
      </c>
      <c r="J4" s="4" t="n">
        <v>0.446</v>
      </c>
      <c r="K4" s="4" t="n">
        <v>0.105</v>
      </c>
      <c r="L4" s="4" t="n">
        <v>0.168</v>
      </c>
      <c r="M4" s="4" t="n">
        <v>0.233</v>
      </c>
    </row>
    <row r="5">
      <c r="A5" t="n">
        <v>2023</v>
      </c>
      <c r="B5" t="inlineStr"/>
      <c r="C5" t="inlineStr"/>
      <c r="D5" t="inlineStr">
        <is>
          <t>Percentage of Enrolled Children who Received at Least Two Topical Fluoride Applications as Dental or Oral Health Services: Total (Ages 1 through 20)</t>
        </is>
      </c>
      <c r="E5" t="inlineStr">
        <is>
          <t>Higher values are better</t>
        </is>
      </c>
      <c r="F5" t="inlineStr">
        <is>
          <t>Mathematica analysis of the Quality Measure Reporting (QMR) system reports for the 2023 Core Set as of May 16, 2024.</t>
        </is>
      </c>
      <c r="G5" t="inlineStr"/>
      <c r="H5" t="inlineStr">
        <is>
          <t>Not reported by state</t>
        </is>
      </c>
      <c r="I5" s="4" t="n">
        <v>0.19</v>
      </c>
      <c r="J5" s="4" t="n">
        <v>0.468</v>
      </c>
      <c r="K5" s="4" t="n">
        <v>0.033</v>
      </c>
      <c r="L5" s="4" t="n">
        <v>0.167</v>
      </c>
      <c r="M5" s="4" t="n">
        <v>0.228</v>
      </c>
    </row>
    <row r="6">
      <c r="A6" t="n">
        <v>2024</v>
      </c>
      <c r="B6" t="inlineStr">
        <is>
          <t>Medicaid (Title XIX)</t>
        </is>
      </c>
      <c r="C6" t="inlineStr">
        <is>
          <t>Administrative</t>
        </is>
      </c>
      <c r="D6" t="inlineStr">
        <is>
          <t>Percentage of Enrolled Children who Received at Least Two Topical Fluoride Applications as Dental or Oral Health Services: Total (Ages 1 through 20)</t>
        </is>
      </c>
      <c r="E6" t="inlineStr">
        <is>
          <t>Higher values are better</t>
        </is>
      </c>
      <c r="F6" t="inlineStr">
        <is>
          <t>Mathematica analysis of the Quality Measure Reporting (QMR) system reports for the 2024 Core Set as of April 28, 2025.</t>
        </is>
      </c>
      <c r="G6" t="inlineStr">
        <is>
          <t>State-specific comments: Rate includes FFS and managed care populations (15 MCOs). State reported that the rate excludes the following populations: "New York State received a one-year exemption from reporting for the separate CHIP population for this measure." Rate was audited or validated.</t>
        </is>
      </c>
      <c r="H6" s="4" t="n">
        <v>0.147</v>
      </c>
      <c r="I6" s="4" t="n">
        <v>0.216</v>
      </c>
      <c r="J6" s="4" t="n">
        <v>0.493</v>
      </c>
      <c r="K6" s="4" t="n">
        <v>0.06900000000000001</v>
      </c>
      <c r="L6" s="4" t="n">
        <v>0.165</v>
      </c>
      <c r="M6" s="4" t="n">
        <v>0.253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2"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Use of First-Line Psychosocial Care for Children and Adolescents on Antipsychotics: Ages 1 to 17 (APP-CH)</t>
        </is>
      </c>
    </row>
    <row r="2"/>
    <row r="3">
      <c r="A3" s="1" t="inlineStr">
        <is>
          <t>Age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Ages 1 to 11</t>
        </is>
      </c>
      <c r="B4" t="n">
        <v>2024</v>
      </c>
      <c r="C4" t="inlineStr">
        <is>
          <t>Medicaid (Title XIX), Title XXI-funded Medicaid Expansion CHIP, Separate CHIP (Title XXI)</t>
        </is>
      </c>
      <c r="D4" t="inlineStr">
        <is>
          <t>Administrative</t>
        </is>
      </c>
      <c r="E4" t="inlineStr">
        <is>
          <t>Percentage who had a New Prescription for an Antipsychotic Medication and had Documentation of Psychosocial Care as First-Line Treatment: Ages 1 to 11</t>
        </is>
      </c>
      <c r="F4" t="inlineStr">
        <is>
          <t>Higher values are better</t>
        </is>
      </c>
      <c r="G4" t="inlineStr">
        <is>
          <t>Mathematica analysis of the Quality Measure Reporting (QMR) system reports for the 2024 Core Set as of April 28, 2025.</t>
        </is>
      </c>
      <c r="H4" t="inlineStr">
        <is>
          <t>State-specific comments: Rate combines the Medicaid and separate CHIP data reported by the state in the QMR system. See Medicaid and separate CHIP state-specific comments for information about the data reported for each population.</t>
        </is>
      </c>
      <c r="I4" s="4" t="n">
        <v>0.651</v>
      </c>
      <c r="J4" s="4" t="n">
        <v>0.579</v>
      </c>
      <c r="K4" s="4" t="n">
        <v>0.85</v>
      </c>
      <c r="L4" s="4" t="n">
        <v>0.39</v>
      </c>
      <c r="M4" s="4" t="n">
        <v>0.529</v>
      </c>
      <c r="N4" s="4" t="n">
        <v>0.636</v>
      </c>
    </row>
    <row r="5">
      <c r="A5" t="inlineStr">
        <is>
          <t>Ages 1 to 11</t>
        </is>
      </c>
      <c r="B5" t="n">
        <v>2024</v>
      </c>
      <c r="C5" t="inlineStr">
        <is>
          <t>Medicaid (Title XIX), Title XXI-funded Medicaid Expansion CHIP</t>
        </is>
      </c>
      <c r="D5" t="inlineStr">
        <is>
          <t>Administrative</t>
        </is>
      </c>
      <c r="E5" t="inlineStr">
        <is>
          <t>Percentage who had a New Prescription for an Antipsychotic Medication and had Documentation of Psychosocial Care as First-Line Treatment: Ages 1 to 11</t>
        </is>
      </c>
      <c r="F5" t="inlineStr">
        <is>
          <t>Higher values are better</t>
        </is>
      </c>
      <c r="G5" t="inlineStr">
        <is>
          <t>Mathematica analysis of the Quality Measure Reporting (QMR) system reports for the 2024 Core Set as of April 28, 2025.</t>
        </is>
      </c>
      <c r="H5" t="inlineStr">
        <is>
          <t>State-specific comments: Medicaid rates include FFS and managed care populations (15 MCOs). The state described the "other" data sources used to calculate the measure as the following: "Health Plan Billing Data." Rates were audited or validated.</t>
        </is>
      </c>
      <c r="I5" s="4" t="n">
        <v>0.649</v>
      </c>
      <c r="J5" s="4" t="n">
        <v>0.579</v>
      </c>
      <c r="K5" s="4" t="n">
        <v>0.85</v>
      </c>
      <c r="L5" s="4" t="n">
        <v>0.39</v>
      </c>
      <c r="M5" s="4" t="n">
        <v>0.529</v>
      </c>
      <c r="N5" s="4" t="n">
        <v>0.636</v>
      </c>
    </row>
    <row r="6">
      <c r="A6" t="inlineStr">
        <is>
          <t>Ages 1 to 11</t>
        </is>
      </c>
      <c r="B6" t="n">
        <v>2024</v>
      </c>
      <c r="C6" t="inlineStr">
        <is>
          <t>Separate CHIP (Title XXI)</t>
        </is>
      </c>
      <c r="D6" t="inlineStr">
        <is>
          <t>Administrative</t>
        </is>
      </c>
      <c r="E6" t="inlineStr">
        <is>
          <t>Percentage who had a New Prescription for an Antipsychotic Medication and had Documentation of Psychosocial Care as First-Line Treatment: Ages 1 to 11</t>
        </is>
      </c>
      <c r="F6" t="inlineStr">
        <is>
          <t>Higher values are better</t>
        </is>
      </c>
      <c r="G6" t="inlineStr">
        <is>
          <t>Mathematica analysis of the Quality Measure Reporting (QMR) system reports for the 2024 Core Set as of April 28, 2025.</t>
        </is>
      </c>
      <c r="H6" t="inlineStr">
        <is>
          <t>State-specific comments: Separate CHIP rates include managed care population (12 MCOs). The state described the "other" data sources used to calculate the measure as the following: "Health Plan Billing Data." Rates were audited or validated.</t>
        </is>
      </c>
      <c r="I6" s="4" t="n">
        <v>0.665</v>
      </c>
      <c r="J6" s="4" t="n">
        <v>0.579</v>
      </c>
      <c r="K6" s="4" t="n">
        <v>0.85</v>
      </c>
      <c r="L6" s="4" t="n">
        <v>0.39</v>
      </c>
      <c r="M6" s="4" t="n">
        <v>0.529</v>
      </c>
      <c r="N6" s="4" t="n">
        <v>0.636</v>
      </c>
    </row>
    <row r="7">
      <c r="A7" t="inlineStr">
        <is>
          <t>Ages 12 to 17</t>
        </is>
      </c>
      <c r="B7" t="n">
        <v>2024</v>
      </c>
      <c r="C7" t="inlineStr">
        <is>
          <t>Medicaid (Title XIX), Title XXI-funded Medicaid Expansion CHIP, Separate CHIP (Title XXI)</t>
        </is>
      </c>
      <c r="D7" t="inlineStr">
        <is>
          <t>Administrative</t>
        </is>
      </c>
      <c r="E7" t="inlineStr">
        <is>
          <t>Percentage who had a New Prescription for an Antipsychotic Medication and had Documentation of Psychosocial Care as First-Line Treatment: Ages 12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0.713</v>
      </c>
      <c r="J7" s="4" t="n">
        <v>0.62</v>
      </c>
      <c r="K7" s="4" t="n">
        <v>0.8149999999999999</v>
      </c>
      <c r="L7" s="4" t="n">
        <v>0.443</v>
      </c>
      <c r="M7" s="4" t="n">
        <v>0.582</v>
      </c>
      <c r="N7" s="4" t="n">
        <v>0.67</v>
      </c>
    </row>
    <row r="8">
      <c r="A8" t="inlineStr">
        <is>
          <t>Ages 12 to 17</t>
        </is>
      </c>
      <c r="B8" t="n">
        <v>2024</v>
      </c>
      <c r="C8" t="inlineStr">
        <is>
          <t>Medicaid (Title XIX), Title XXI-funded Medicaid Expansion CHIP</t>
        </is>
      </c>
      <c r="D8" t="inlineStr">
        <is>
          <t>Administrative</t>
        </is>
      </c>
      <c r="E8" t="inlineStr">
        <is>
          <t>Percentage who had a New Prescription for an Antipsychotic Medication and had Documentation of Psychosocial Care as First-Line Treatment: Ages 12 to 17</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0.709</v>
      </c>
      <c r="J8" s="4" t="n">
        <v>0.62</v>
      </c>
      <c r="K8" s="4" t="n">
        <v>0.8149999999999999</v>
      </c>
      <c r="L8" s="4" t="n">
        <v>0.443</v>
      </c>
      <c r="M8" s="4" t="n">
        <v>0.582</v>
      </c>
      <c r="N8" s="4" t="n">
        <v>0.67</v>
      </c>
    </row>
    <row r="9">
      <c r="A9" t="inlineStr">
        <is>
          <t>Ages 12 to 17</t>
        </is>
      </c>
      <c r="B9" t="n">
        <v>2024</v>
      </c>
      <c r="C9" t="inlineStr">
        <is>
          <t>Separate CHIP (Title XXI)</t>
        </is>
      </c>
      <c r="D9" t="inlineStr">
        <is>
          <t>Administrative</t>
        </is>
      </c>
      <c r="E9" t="inlineStr">
        <is>
          <t>Percentage who had a New Prescription for an Antipsychotic Medication and had Documentation of Psychosocial Care as First-Line Treatment: Ages 12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0.738</v>
      </c>
      <c r="J9" s="4" t="n">
        <v>0.62</v>
      </c>
      <c r="K9" s="4" t="n">
        <v>0.8149999999999999</v>
      </c>
      <c r="L9" s="4" t="n">
        <v>0.443</v>
      </c>
      <c r="M9" s="4" t="n">
        <v>0.582</v>
      </c>
      <c r="N9" s="4" t="n">
        <v>0.67</v>
      </c>
    </row>
    <row r="10">
      <c r="A10" t="inlineStr">
        <is>
          <t>Total (Ages 1 to 17)</t>
        </is>
      </c>
      <c r="B10" t="n">
        <v>2024</v>
      </c>
      <c r="C10" t="inlineStr">
        <is>
          <t>Medicaid (Title XIX), Title XXI-funded Medicaid Expansion CHIP, Separate CHIP (Title XXI)</t>
        </is>
      </c>
      <c r="D10" t="inlineStr">
        <is>
          <t>Administrative</t>
        </is>
      </c>
      <c r="E10" t="inlineStr">
        <is>
          <t>Percentage who had a New Prescription for an Antipsychotic Medication and had Documentation of Psychosocial Care as First-Line Treatment: Ages 1 to 17</t>
        </is>
      </c>
      <c r="F10" t="inlineStr">
        <is>
          <t>Higher values are better</t>
        </is>
      </c>
      <c r="G10" t="inlineStr">
        <is>
          <t>Mathematica analysis of the Quality Measure Reporting (QMR) system reports for the 2024 Core Set as of April 28, 2025.</t>
        </is>
      </c>
      <c r="H10" t="inlineStr">
        <is>
          <t>State-specific comments: Rate combines the Medicaid and separate CHIP data reported by the state in the QMR system. See Medicaid and separate CHIP state-specific comments for information about the data reported for each population.</t>
        </is>
      </c>
      <c r="I10" s="4" t="n">
        <v>0.694</v>
      </c>
      <c r="J10" s="4" t="n">
        <v>0.599</v>
      </c>
      <c r="K10" s="4" t="n">
        <v>0.787</v>
      </c>
      <c r="L10" s="4" t="n">
        <v>0.431</v>
      </c>
      <c r="M10" s="4" t="n">
        <v>0.571</v>
      </c>
      <c r="N10" s="4" t="n">
        <v>0.665</v>
      </c>
    </row>
    <row r="11">
      <c r="A11" t="inlineStr">
        <is>
          <t>Total (Ages 1 to 17)</t>
        </is>
      </c>
      <c r="B11" t="n">
        <v>2024</v>
      </c>
      <c r="C11" t="inlineStr">
        <is>
          <t>Medicaid (Title XIX), Title XXI-funded Medicaid Expansion CHIP</t>
        </is>
      </c>
      <c r="D11" t="inlineStr">
        <is>
          <t>Administrative</t>
        </is>
      </c>
      <c r="E11" t="inlineStr">
        <is>
          <t>Percentage who had a New Prescription for an Antipsychotic Medication and had Documentation of Psychosocial Care as First-Line Treatment: Ages 1 to 17</t>
        </is>
      </c>
      <c r="F11" t="inlineStr">
        <is>
          <t>Higher values are better</t>
        </is>
      </c>
      <c r="G11" t="inlineStr">
        <is>
          <t>Mathematica analysis of the Quality Measure Reporting (QMR) system reports for the 2024 Core Set as of April 28, 2025.</t>
        </is>
      </c>
      <c r="H11" t="inlineStr">
        <is>
          <t>State-specific comments: Medicaid rates include FFS and managed care populations (15 MCOs). The state described the "other" data sources used to calculate the measure as the following: "Health Plan Billing Data." Rates were audited or validated.</t>
        </is>
      </c>
      <c r="I11" s="4" t="n">
        <v>0.6899999999999999</v>
      </c>
      <c r="J11" s="4" t="n">
        <v>0.599</v>
      </c>
      <c r="K11" s="4" t="n">
        <v>0.787</v>
      </c>
      <c r="L11" s="4" t="n">
        <v>0.431</v>
      </c>
      <c r="M11" s="4" t="n">
        <v>0.571</v>
      </c>
      <c r="N11" s="4" t="n">
        <v>0.665</v>
      </c>
    </row>
    <row r="12">
      <c r="A12" t="inlineStr">
        <is>
          <t>Total (Ages 1 to 17)</t>
        </is>
      </c>
      <c r="B12" t="n">
        <v>2024</v>
      </c>
      <c r="C12" t="inlineStr">
        <is>
          <t>Separate CHIP (Title XXI)</t>
        </is>
      </c>
      <c r="D12" t="inlineStr">
        <is>
          <t>Administrative</t>
        </is>
      </c>
      <c r="E12" t="inlineStr">
        <is>
          <t>Percentage who had a New Prescription for an Antipsychotic Medication and had Documentation of Psychosocial Care as First-Line Treatment: Ages 1 to 17</t>
        </is>
      </c>
      <c r="F12" t="inlineStr">
        <is>
          <t>Higher values are better</t>
        </is>
      </c>
      <c r="G12" t="inlineStr">
        <is>
          <t>Mathematica analysis of the Quality Measure Reporting (QMR) system reports for the 2024 Core Set as of April 28, 2025.</t>
        </is>
      </c>
      <c r="H12" t="inlineStr">
        <is>
          <t>State-specific comments: Separate CHIP rates include managed care population (12 MCOs). The state described the "other" data sources used to calculate the measure as the following: "Health Plan Billing Data." Rates were audited or validated.</t>
        </is>
      </c>
      <c r="I12" s="4" t="n">
        <v>0.722</v>
      </c>
      <c r="J12" s="4" t="n">
        <v>0.599</v>
      </c>
      <c r="K12" s="4" t="n">
        <v>0.787</v>
      </c>
      <c r="L12" s="4" t="n">
        <v>0.431</v>
      </c>
      <c r="M12" s="4" t="n">
        <v>0.571</v>
      </c>
      <c r="N12" s="4" t="n">
        <v>0.665</v>
      </c>
    </row>
    <row r="13">
      <c r="A13" t="inlineStr"/>
      <c r="B13" t="n">
        <v>2021</v>
      </c>
      <c r="C13" t="inlineStr">
        <is>
          <t>Medicaid &amp; CHIP</t>
        </is>
      </c>
      <c r="D13" t="inlineStr">
        <is>
          <t>Administrative</t>
        </is>
      </c>
      <c r="E13" t="inlineStr">
        <is>
          <t>Percentage who had a New Prescription for an Antipsychotic Medication and had Documentation of Psychosocial Care as First-Line Treatment: Ages 1 to 17</t>
        </is>
      </c>
      <c r="F13" t="inlineStr">
        <is>
          <t>Higher values are better</t>
        </is>
      </c>
      <c r="G13" t="inlineStr">
        <is>
          <t>Mathematica analysis of the Quality Measure Reporting (QMR) system reports for the FFY 2021 reporting cycle as of June 1, 2023.</t>
        </is>
      </c>
      <c r="H13" t="inlineStr">
        <is>
          <t>State-specific comments: Rate includes managed care population (16 MCOs). The state described the "other" data sources used to calculate the measure as the following: "Health Plan Billing Data." Rate was audited or validated.</t>
        </is>
      </c>
      <c r="I13" s="4" t="n">
        <v>0.73</v>
      </c>
      <c r="J13" s="4" t="n">
        <v>0.633</v>
      </c>
      <c r="K13" s="4" t="n">
        <v>0.83</v>
      </c>
      <c r="L13" s="4" t="n">
        <v>0.194</v>
      </c>
      <c r="M13" s="4" t="n">
        <v>0.577</v>
      </c>
      <c r="N13" s="4" t="n">
        <v>0.6919999999999999</v>
      </c>
    </row>
    <row r="14">
      <c r="A14" t="inlineStr"/>
      <c r="B14" t="n">
        <v>2022</v>
      </c>
      <c r="C14" t="inlineStr">
        <is>
          <t>Medicaid &amp; CHIP</t>
        </is>
      </c>
      <c r="D14" t="inlineStr">
        <is>
          <t>Administrative</t>
        </is>
      </c>
      <c r="E14" t="inlineStr">
        <is>
          <t>Percentage who had a New Prescription for an Antipsychotic Medication and had Documentation of Psychosocial Care as First-Line Treatment: Ages 1 to 17</t>
        </is>
      </c>
      <c r="F14" t="inlineStr">
        <is>
          <t>Higher values are better</t>
        </is>
      </c>
      <c r="G14" t="inlineStr">
        <is>
          <t>Mathematica analysis of the Quality Measure Reporting (QMR) system reports for the FFY 2022 reporting cycle as of June 1, 2023.</t>
        </is>
      </c>
      <c r="H14" t="inlineStr">
        <is>
          <t>State-specific comments: Rate includes managed care population (16 MCOs). The state described the "other" data sources used to calculate the measure as the following: "Health Plan Billing Data." Rate was audited or validated.</t>
        </is>
      </c>
      <c r="I14" s="4" t="n">
        <v>0.746</v>
      </c>
      <c r="J14" s="4" t="n">
        <v>0.626</v>
      </c>
      <c r="K14" s="4" t="n">
        <v>0.8100000000000001</v>
      </c>
      <c r="L14" s="4" t="n">
        <v>0.275</v>
      </c>
      <c r="M14" s="4" t="n">
        <v>0.586</v>
      </c>
      <c r="N14" s="4" t="n">
        <v>0.672</v>
      </c>
    </row>
    <row r="15">
      <c r="A15" t="inlineStr"/>
      <c r="B15" t="n">
        <v>2023</v>
      </c>
      <c r="C15" t="inlineStr">
        <is>
          <t>Medicaid &amp; CHIP</t>
        </is>
      </c>
      <c r="D15" t="inlineStr">
        <is>
          <t>Administrative</t>
        </is>
      </c>
      <c r="E15" t="inlineStr">
        <is>
          <t>Percentage who had a New Prescription for an Antipsychotic Medication and had Documentation of Psychosocial Care as First-Line Treatment: Ages 1 to 17</t>
        </is>
      </c>
      <c r="F15" t="inlineStr">
        <is>
          <t>Higher values are better</t>
        </is>
      </c>
      <c r="G15" t="inlineStr">
        <is>
          <t>Mathematica analysis of the Quality Measure Reporting (QMR) system reports for the 2023 Core Set as of May 16, 2024.</t>
        </is>
      </c>
      <c r="H15" t="inlineStr">
        <is>
          <t>State-specific comments: Rate includes managed care population (15 MCOs). The state described the "other" data sources used to calculate the measure as the following: "Health Plan Billing Data." Rate was audited or validated.</t>
        </is>
      </c>
      <c r="I15" s="4" t="n">
        <v>0.727</v>
      </c>
      <c r="J15" s="4" t="n">
        <v>0.605</v>
      </c>
      <c r="K15" s="4" t="n">
        <v>0.798</v>
      </c>
      <c r="L15" s="4" t="n">
        <v>0.433</v>
      </c>
      <c r="M15" s="4" t="n">
        <v>0.572</v>
      </c>
      <c r="N15" s="4" t="n">
        <v>0.678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5" customWidth="1" min="1" max="1"/>
    <col width="60" customWidth="1" min="2" max="2"/>
    <col width="25" customWidth="1" min="3" max="3"/>
    <col width="60" customWidth="1" min="4" max="4"/>
    <col width="23" customWidth="1" min="5" max="5"/>
    <col width="8" customWidth="1" min="6" max="6"/>
    <col width="9" customWidth="1" min="7" max="7"/>
    <col width="9" customWidth="1" min="8" max="8"/>
    <col width="16" customWidth="1" min="9" max="9"/>
    <col width="16" customWidth="1" min="10" max="10"/>
  </cols>
  <sheetData>
    <row r="1">
      <c r="A1" t="inlineStr">
        <is>
          <t>Measure Name</t>
        </is>
      </c>
      <c r="B1" t="inlineStr">
        <is>
          <t>Use of Opioids at High Dosage in Persons Without Cancer: Age 18 and Older (OHD-AD)</t>
        </is>
      </c>
    </row>
    <row r="2"/>
    <row r="3">
      <c r="A3" s="1" t="inlineStr">
        <is>
          <t>Data Period</t>
        </is>
      </c>
      <c r="B3" s="1" t="inlineStr">
        <is>
          <t>Value Type</t>
        </is>
      </c>
      <c r="C3" s="1" t="inlineStr">
        <is>
          <t>Value Directionality</t>
        </is>
      </c>
      <c r="D3" s="1" t="inlineStr">
        <is>
          <t>Analysis Source</t>
        </is>
      </c>
      <c r="E3" s="1" t="inlineStr">
        <is>
          <t>Value</t>
        </is>
      </c>
      <c r="F3" s="1" t="inlineStr">
        <is>
          <t>Median</t>
        </is>
      </c>
      <c r="G3" s="1" t="inlineStr">
        <is>
          <t>Maximum</t>
        </is>
      </c>
      <c r="H3" s="1" t="inlineStr">
        <is>
          <t>Minimum</t>
        </is>
      </c>
      <c r="I3" s="1" t="inlineStr">
        <is>
          <t>First quartile</t>
        </is>
      </c>
      <c r="J3" s="1" t="inlineStr">
        <is>
          <t>Third quartile</t>
        </is>
      </c>
    </row>
    <row r="4">
      <c r="A4" t="n">
        <v>2021</v>
      </c>
      <c r="B4" t="inlineStr">
        <is>
          <t>Percentage of Adults Without Cancer who Received Prescriptions for Opioids with an Average Daily Dosage Greater than or Equal to 90 Morphine Milligram Equivalents (MME) for a Period of 90 Days or More: Ages 18 to 64 Years</t>
        </is>
      </c>
      <c r="C4" t="inlineStr">
        <is>
          <t>Lower values are better</t>
        </is>
      </c>
      <c r="D4" t="inlineStr">
        <is>
          <t>Mathematica analysis of the Quality Measure Reporting (QMR) system reports for the FFY 2021 reporting cycle as of June 1, 2023.</t>
        </is>
      </c>
      <c r="E4" t="inlineStr">
        <is>
          <t>Not reported by state</t>
        </is>
      </c>
      <c r="F4" s="4" t="n">
        <v>0.07199999999999999</v>
      </c>
      <c r="G4" s="4" t="n">
        <v>0.224</v>
      </c>
      <c r="H4" s="4" t="n">
        <v>0.007</v>
      </c>
      <c r="I4" s="4" t="n">
        <v>0.04</v>
      </c>
      <c r="J4" s="4" t="n">
        <v>0.099</v>
      </c>
    </row>
    <row r="5">
      <c r="A5" t="n">
        <v>2022</v>
      </c>
      <c r="B5" t="inlineStr">
        <is>
          <t>Percentage of Adults Without Cancer who Received Prescriptions for Opioids with an Average Daily Dosage Greater than or Equal to 90 Morphine Milligram Equivalents (MME) for a Period of 90 Days or More: Ages 18 to 64 Years</t>
        </is>
      </c>
      <c r="C5" t="inlineStr">
        <is>
          <t>Lower values are better</t>
        </is>
      </c>
      <c r="D5" t="inlineStr">
        <is>
          <t>Mathematica analysis of the Quality Measure Reporting (QMR) system reports for the FFY 2022 reporting cycle as of June 1, 2023.</t>
        </is>
      </c>
      <c r="E5" t="inlineStr">
        <is>
          <t>Not reported by state</t>
        </is>
      </c>
      <c r="F5" s="4" t="n">
        <v>0.067</v>
      </c>
      <c r="G5" s="4" t="n">
        <v>0.198</v>
      </c>
      <c r="H5" s="4" t="n">
        <v>0.007</v>
      </c>
      <c r="I5" s="4" t="n">
        <v>0.032</v>
      </c>
      <c r="J5" s="4" t="n">
        <v>0.09</v>
      </c>
    </row>
    <row r="6">
      <c r="A6" t="n">
        <v>2023</v>
      </c>
      <c r="B6" t="inlineStr">
        <is>
          <t>Percentage of Adults Without Cancer who Received Prescriptions for Opioids with an Average Daily Dosage Greater than or Equal to 90 Morphine Milligram Equivalents (MME) for a Period of 90 Days or More: Ages 18 to 64 Years</t>
        </is>
      </c>
      <c r="C6" t="inlineStr">
        <is>
          <t>Lower values are better</t>
        </is>
      </c>
      <c r="D6" t="inlineStr">
        <is>
          <t>Mathematica analysis of the Quality Measure Reporting (QMR) system reports for the 2023 Core Set as of May 16, 2024.</t>
        </is>
      </c>
      <c r="E6" t="inlineStr">
        <is>
          <t>Not reported by state</t>
        </is>
      </c>
      <c r="F6" s="4" t="n">
        <v>0.059</v>
      </c>
      <c r="G6" s="4" t="n">
        <v>0.207</v>
      </c>
      <c r="H6" s="4" t="n">
        <v>0.005</v>
      </c>
      <c r="I6" s="4" t="n">
        <v>0.03</v>
      </c>
      <c r="J6" s="4" t="n">
        <v>0.08500000000000001</v>
      </c>
    </row>
    <row r="7">
      <c r="A7" t="n">
        <v>2024</v>
      </c>
      <c r="B7" t="inlineStr">
        <is>
          <t>Percentage of Adults Without Cancer who Received Prescriptions for Opioids with an Average Daily Dosage Greater than or Equal to 90 Morphine Milligram Equivalents (MME) for a Period of 90 Days or More: Ages 18 to 64</t>
        </is>
      </c>
      <c r="C7" t="inlineStr">
        <is>
          <t>Lower values are better</t>
        </is>
      </c>
      <c r="D7" t="inlineStr">
        <is>
          <t>Mathematica analysis of the Quality Measure Reporting (QMR) system reports for the 2024 Core Set as of April 28, 2025.</t>
        </is>
      </c>
      <c r="E7" t="inlineStr">
        <is>
          <t>Not reported by state</t>
        </is>
      </c>
      <c r="F7" s="4" t="n">
        <v>0.064</v>
      </c>
      <c r="G7" s="4" t="n">
        <v>0.254</v>
      </c>
      <c r="H7" s="4" t="n">
        <v>0</v>
      </c>
      <c r="I7" s="4" t="n">
        <v>0.022</v>
      </c>
      <c r="J7" s="4" t="n">
        <v>0.08599999999999999</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35" customWidth="1" min="1" max="1"/>
    <col width="13" customWidth="1" min="2" max="2"/>
    <col width="22"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Use of Pharmacotherapy for Opioid Use Disorder: Ages 18 to 64 (OUD-AD)</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Buprenorphine</t>
        </is>
      </c>
      <c r="B4" t="n">
        <v>2024</v>
      </c>
      <c r="C4" t="inlineStr">
        <is>
          <t>Medicaid (Title XIX)</t>
        </is>
      </c>
      <c r="D4" t="inlineStr">
        <is>
          <t>Administrative</t>
        </is>
      </c>
      <c r="E4" t="inlineStr">
        <is>
          <t>Percentage with an Opioid Use Disorder who Filled a Prescription for or were Administered or Dispensed Buprenorphine: Ages 18 to 64</t>
        </is>
      </c>
      <c r="F4" t="inlineStr">
        <is>
          <t>Higher values are better</t>
        </is>
      </c>
      <c r="G4" t="inlineStr">
        <is>
          <t>Mathematica analysis of the Quality Measure Reporting (QMR) system reports for the 2024 Core Set as of April 28, 2025.</t>
        </is>
      </c>
      <c r="H4" t="inlineStr">
        <is>
          <t>State-specific comments: Rates include FFS and managed care populations (51 MCOs). Rates were audited or validated.</t>
        </is>
      </c>
      <c r="I4" s="4" t="n">
        <v>0.385</v>
      </c>
      <c r="J4" s="4" t="n">
        <v>0.4</v>
      </c>
      <c r="K4" s="4" t="n">
        <v>0.896</v>
      </c>
      <c r="L4" s="4" t="n">
        <v>0.003</v>
      </c>
      <c r="M4" s="4" t="n">
        <v>0.321</v>
      </c>
      <c r="N4" s="4" t="n">
        <v>0.511</v>
      </c>
    </row>
    <row r="5">
      <c r="A5" t="inlineStr">
        <is>
          <t>Long-acting Injectable Naltrexone</t>
        </is>
      </c>
      <c r="B5" t="n">
        <v>2024</v>
      </c>
      <c r="C5" t="inlineStr">
        <is>
          <t>Medicaid (Title XIX)</t>
        </is>
      </c>
      <c r="D5" t="inlineStr">
        <is>
          <t>Administrative</t>
        </is>
      </c>
      <c r="E5" t="inlineStr">
        <is>
          <t>Percentage with an Opioid Use Disorder who Filled a Prescription for or were Administered or Dispensed Long-acting Injectable Naltrexone: Ages 18 to 64</t>
        </is>
      </c>
      <c r="F5" t="inlineStr">
        <is>
          <t>Higher values are better</t>
        </is>
      </c>
      <c r="G5" t="inlineStr">
        <is>
          <t>Mathematica analysis of the Quality Measure Reporting (QMR) system reports for the 2024 Core Set as of April 28, 2025.</t>
        </is>
      </c>
      <c r="H5" t="inlineStr">
        <is>
          <t>State-specific comments: Rates include FFS and managed care populations (51 MCOs). Rates were audited or validated.</t>
        </is>
      </c>
      <c r="I5" s="4" t="n">
        <v>0.018</v>
      </c>
      <c r="J5" s="4" t="n">
        <v>0.014</v>
      </c>
      <c r="K5" s="4" t="n">
        <v>0.556</v>
      </c>
      <c r="L5" s="4" t="n">
        <v>0</v>
      </c>
      <c r="M5" s="4" t="n">
        <v>0.008</v>
      </c>
      <c r="N5" s="4" t="n">
        <v>0.024</v>
      </c>
    </row>
    <row r="6">
      <c r="A6" t="inlineStr">
        <is>
          <t>Methadone</t>
        </is>
      </c>
      <c r="B6" t="n">
        <v>2024</v>
      </c>
      <c r="C6" t="inlineStr">
        <is>
          <t>Medicaid (Title XIX)</t>
        </is>
      </c>
      <c r="D6" t="inlineStr">
        <is>
          <t>Administrative</t>
        </is>
      </c>
      <c r="E6" t="inlineStr">
        <is>
          <t>Percentage with an Opioid Use Disorder who Filled a Prescription for or were Administered or Dispensed Methadone: Ages 18 to 64</t>
        </is>
      </c>
      <c r="F6" t="inlineStr">
        <is>
          <t>Higher values are better</t>
        </is>
      </c>
      <c r="G6" t="inlineStr">
        <is>
          <t>Mathematica analysis of the Quality Measure Reporting (QMR) system reports for the 2024 Core Set as of April 28, 2025.</t>
        </is>
      </c>
      <c r="H6" t="inlineStr">
        <is>
          <t>State-specific comments: Rates include FFS and managed care populations (51 MCOs). Rates were audited or validated.</t>
        </is>
      </c>
      <c r="I6" s="4" t="n">
        <v>0.309</v>
      </c>
      <c r="J6" s="4" t="n">
        <v>0.212</v>
      </c>
      <c r="K6" s="4" t="n">
        <v>0.503</v>
      </c>
      <c r="L6" s="4" t="n">
        <v>0</v>
      </c>
      <c r="M6" s="4" t="n">
        <v>0.139</v>
      </c>
      <c r="N6" s="4" t="n">
        <v>0.3</v>
      </c>
    </row>
    <row r="7">
      <c r="A7" t="inlineStr">
        <is>
          <t>Oral Naltrexone</t>
        </is>
      </c>
      <c r="B7" t="n">
        <v>2024</v>
      </c>
      <c r="C7" t="inlineStr">
        <is>
          <t>Medicaid (Title XIX)</t>
        </is>
      </c>
      <c r="D7" t="inlineStr">
        <is>
          <t>Administrative</t>
        </is>
      </c>
      <c r="E7" t="inlineStr">
        <is>
          <t>Percentage with an Opioid Use Disorder who Filled a Prescription for or were Administered or Dispensed Oral Naltrexone: Ages 18 to 64</t>
        </is>
      </c>
      <c r="F7" t="inlineStr">
        <is>
          <t>Higher values are better</t>
        </is>
      </c>
      <c r="G7" t="inlineStr">
        <is>
          <t>Mathematica analysis of the Quality Measure Reporting (QMR) system reports for the 2024 Core Set as of April 28, 2025.</t>
        </is>
      </c>
      <c r="H7" t="inlineStr">
        <is>
          <t>State-specific comments: Rates include FFS and managed care populations (51 MCOs). Rates were audited or validated.</t>
        </is>
      </c>
      <c r="I7" s="4" t="n">
        <v>0.026</v>
      </c>
      <c r="J7" s="4" t="n">
        <v>0.025</v>
      </c>
      <c r="K7" s="4" t="n">
        <v>0.336</v>
      </c>
      <c r="L7" s="4" t="n">
        <v>0.003</v>
      </c>
      <c r="M7" s="4" t="n">
        <v>0.018</v>
      </c>
      <c r="N7" s="4" t="n">
        <v>0.034</v>
      </c>
    </row>
    <row r="8">
      <c r="A8" t="inlineStr">
        <is>
          <t>Total</t>
        </is>
      </c>
      <c r="B8" t="n">
        <v>2024</v>
      </c>
      <c r="C8" t="inlineStr">
        <is>
          <t>Medicaid (Title XIX)</t>
        </is>
      </c>
      <c r="D8" t="inlineStr">
        <is>
          <t>Administrative</t>
        </is>
      </c>
      <c r="E8" t="inlineStr">
        <is>
          <t>Percentage with an Opioid Use Disorder who Filled a Prescription for or were Administered or Dispensed an FDA-Approved Medication for the Disorder: Total Rate: Ages 18 to 64</t>
        </is>
      </c>
      <c r="F8" t="inlineStr">
        <is>
          <t>Higher values are better</t>
        </is>
      </c>
      <c r="G8" t="inlineStr">
        <is>
          <t>Mathematica analysis of the Quality Measure Reporting (QMR) system reports for the 2024 Core Set as of April 28, 2025.</t>
        </is>
      </c>
      <c r="H8" t="inlineStr">
        <is>
          <t>State-specific comments: Rates include FFS and managed care populations (51 MCOs). Rates were audited or validated.</t>
        </is>
      </c>
      <c r="I8" s="4" t="n">
        <v>0.694</v>
      </c>
      <c r="J8" s="4" t="n">
        <v>0.605</v>
      </c>
      <c r="K8" s="4" t="n">
        <v>0.909</v>
      </c>
      <c r="L8" s="4" t="n">
        <v>0.006</v>
      </c>
      <c r="M8" s="4" t="n">
        <v>0.49</v>
      </c>
      <c r="N8" s="4" t="n">
        <v>0.71</v>
      </c>
    </row>
    <row r="9">
      <c r="A9" t="inlineStr"/>
      <c r="B9" t="n">
        <v>2021</v>
      </c>
      <c r="C9" t="inlineStr">
        <is>
          <t>Medicaid</t>
        </is>
      </c>
      <c r="D9" t="inlineStr">
        <is>
          <t>Administrative</t>
        </is>
      </c>
      <c r="E9" t="inlineStr">
        <is>
          <t>Percentage with an Opioid Use Disorder who Filled a Prescription for or were Administered or Dispensed an FDA-Approved Medication for the Disorder: Total Rate: Ages 18 to 64</t>
        </is>
      </c>
      <c r="F9" t="inlineStr">
        <is>
          <t>Higher values are better</t>
        </is>
      </c>
      <c r="G9" t="inlineStr">
        <is>
          <t>Mathematica analysis of the Quality Measure Reporting (QMR) system reports for the FFY 2021 reporting cycle as of June 1, 2023.</t>
        </is>
      </c>
      <c r="H9" t="inlineStr">
        <is>
          <t>State-specific comments: Rate includes FFS and managed care populations (61 MCOs). Rate was audited or validated.</t>
        </is>
      </c>
      <c r="I9" s="4" t="n">
        <v>0.658</v>
      </c>
      <c r="J9" s="4" t="n">
        <v>0.543</v>
      </c>
      <c r="K9" s="4" t="n">
        <v>0.913</v>
      </c>
      <c r="L9" s="4" t="n">
        <v>0.194</v>
      </c>
      <c r="M9" s="4" t="n">
        <v>0.475</v>
      </c>
      <c r="N9" s="4" t="n">
        <v>0.74</v>
      </c>
    </row>
    <row r="10">
      <c r="A10" t="inlineStr"/>
      <c r="B10" t="n">
        <v>2022</v>
      </c>
      <c r="C10" t="inlineStr">
        <is>
          <t>Medicaid</t>
        </is>
      </c>
      <c r="D10" t="inlineStr">
        <is>
          <t>Administrative</t>
        </is>
      </c>
      <c r="E10" t="inlineStr">
        <is>
          <t>Percentage with an Opioid Use Disorder who Filled a Prescription for or were Administered or Dispensed an FDA-Approved Medication for the Disorder: Total Rate: Ages 18 to 64</t>
        </is>
      </c>
      <c r="F10" t="inlineStr">
        <is>
          <t>Higher values are better</t>
        </is>
      </c>
      <c r="G10" t="inlineStr">
        <is>
          <t>Mathematica analysis of the Quality Measure Reporting (QMR) system reports for the FFY 2022 reporting cycle as of June 1, 2023.</t>
        </is>
      </c>
      <c r="H10" t="inlineStr">
        <is>
          <t>State-specific comments: Rate includes FFS and managed care populations (61 MCOs). Rate was audited or validated.</t>
        </is>
      </c>
      <c r="I10" s="4" t="n">
        <v>0.652</v>
      </c>
      <c r="J10" s="4" t="n">
        <v>0.5620000000000001</v>
      </c>
      <c r="K10" s="4" t="n">
        <v>0.903</v>
      </c>
      <c r="L10" s="4" t="n">
        <v>0.273</v>
      </c>
      <c r="M10" s="4" t="n">
        <v>0.516</v>
      </c>
      <c r="N10" s="4" t="n">
        <v>0.71</v>
      </c>
    </row>
    <row r="11">
      <c r="A11" t="inlineStr"/>
      <c r="B11" t="n">
        <v>2023</v>
      </c>
      <c r="C11" t="inlineStr">
        <is>
          <t>Medicaid</t>
        </is>
      </c>
      <c r="D11" t="inlineStr">
        <is>
          <t>Administrative</t>
        </is>
      </c>
      <c r="E11" t="inlineStr">
        <is>
          <t>Percentage with an Opioid Use Disorder who Filled a Prescription for or were Administered or Dispensed an FDA-Approved Medication for the Disorder: Total Rate: Ages 18 to 64</t>
        </is>
      </c>
      <c r="F11" t="inlineStr">
        <is>
          <t>Higher values are better</t>
        </is>
      </c>
      <c r="G11" t="inlineStr">
        <is>
          <t>Mathematica analysis of the Quality Measure Reporting (QMR) system reports for the 2023 Core Set as of May 16, 2024.</t>
        </is>
      </c>
      <c r="H11" t="inlineStr">
        <is>
          <t>State-specific comments: Rate includes FFS and managed care populations (54 MCOs). Rate was audited or validated.</t>
        </is>
      </c>
      <c r="I11" s="4" t="n">
        <v>0.67</v>
      </c>
      <c r="J11" s="4" t="n">
        <v>0.602</v>
      </c>
      <c r="K11" s="4" t="n">
        <v>0.912</v>
      </c>
      <c r="L11" s="4" t="n">
        <v>0.007</v>
      </c>
      <c r="M11" s="4" t="n">
        <v>0.538</v>
      </c>
      <c r="N11" s="4" t="n">
        <v>0.717</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42" customWidth="1" min="1" max="1"/>
    <col width="13" customWidth="1" min="2" max="2"/>
    <col width="60" customWidth="1" min="3" max="3"/>
    <col width="13"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Weight Assessment and Counseling for Nutrition and Physical Activity for Children/Adolescents: Ages 3 to 17 (WCC-CH)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Body Mass Index Percentile Documentation</t>
        </is>
      </c>
      <c r="B4" t="n">
        <v>2021</v>
      </c>
      <c r="C4" t="inlineStr">
        <is>
          <t>Medicaid &amp; CHIP</t>
        </is>
      </c>
      <c r="D4" t="inlineStr">
        <is>
          <t>Hybrid</t>
        </is>
      </c>
      <c r="E4" t="inlineStr">
        <is>
          <t>Percentage with an Outpatient Visit and Body Mass Index Percentile Documented in the Medical Record: Ages 3 to 17</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Denominator is the sample size; measure-eligible population is 1,328,381. Rates were audited or validated.</t>
        </is>
      </c>
      <c r="I4" s="4" t="n">
        <v>0.797</v>
      </c>
      <c r="J4" s="4" t="n">
        <v>0.71</v>
      </c>
      <c r="K4" s="4" t="n">
        <v>0.9399999999999999</v>
      </c>
      <c r="L4" s="4" t="n">
        <v>0.064</v>
      </c>
      <c r="M4" s="4" t="n">
        <v>0.612</v>
      </c>
      <c r="N4" s="4" t="n">
        <v>0.799</v>
      </c>
    </row>
    <row r="5">
      <c r="A5" t="inlineStr">
        <is>
          <t>Body Mass Index Percentile Documentation</t>
        </is>
      </c>
      <c r="B5" t="n">
        <v>2022</v>
      </c>
      <c r="C5" t="inlineStr">
        <is>
          <t>Medicaid &amp; CHIP</t>
        </is>
      </c>
      <c r="D5" t="inlineStr">
        <is>
          <t>Hybrid</t>
        </is>
      </c>
      <c r="E5" t="inlineStr">
        <is>
          <t>Percentage with an Outpatient Visit and Body Mass Index Percentile Documented in the Medical Record: Ages 3 to 17</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Denominator is the sample size; measure-eligible population is 1,459,587. Rates were audited or validated.</t>
        </is>
      </c>
      <c r="I5" s="4" t="n">
        <v>0.851</v>
      </c>
      <c r="J5" s="4" t="n">
        <v>0.719</v>
      </c>
      <c r="K5" s="4" t="n">
        <v>0.951</v>
      </c>
      <c r="L5" s="4" t="n">
        <v>0.053</v>
      </c>
      <c r="M5" s="4" t="n">
        <v>0.591</v>
      </c>
      <c r="N5" s="4" t="n">
        <v>0.8100000000000001</v>
      </c>
    </row>
    <row r="6">
      <c r="A6" t="inlineStr">
        <is>
          <t>Body Mass Index Percentile Documentation</t>
        </is>
      </c>
      <c r="B6" t="n">
        <v>2023</v>
      </c>
      <c r="C6" t="inlineStr">
        <is>
          <t>Medicaid &amp; CHIP</t>
        </is>
      </c>
      <c r="D6" t="inlineStr">
        <is>
          <t>Hybrid</t>
        </is>
      </c>
      <c r="E6" t="inlineStr">
        <is>
          <t>Percentage with an Outpatient Visit and Body Mass Index Percentile Documented in the Medical Record: Ages 3 to 17</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Denominator is the sample size; measure-eligible population is 1,487,560. Rates were audited or validated.</t>
        </is>
      </c>
      <c r="I6" s="4" t="n">
        <v>0.852</v>
      </c>
      <c r="J6" s="4" t="n">
        <v>0.735</v>
      </c>
      <c r="K6" s="4" t="n">
        <v>0.978</v>
      </c>
      <c r="L6" s="4" t="n">
        <v>0.059</v>
      </c>
      <c r="M6" s="4" t="n">
        <v>0.599</v>
      </c>
      <c r="N6" s="4" t="n">
        <v>0.8149999999999999</v>
      </c>
    </row>
    <row r="7">
      <c r="A7" t="inlineStr">
        <is>
          <t>Body Mass Index Percentile Documentation</t>
        </is>
      </c>
      <c r="B7" t="n">
        <v>2024</v>
      </c>
      <c r="C7" t="inlineStr">
        <is>
          <t>Medicaid (Title XIX), Title XXI-funded Medicaid Expansion CHIP, Separate CHIP (Title XXI)</t>
        </is>
      </c>
      <c r="D7" t="inlineStr">
        <is>
          <t>Hybrid</t>
        </is>
      </c>
      <c r="E7" t="inlineStr">
        <is>
          <t>Percentage with an Outpatient Visit and Body Mass Index Percentile Documented in the Medical Record: Ages 3 to 17</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0.87</v>
      </c>
      <c r="J7" s="4" t="n">
        <v>0.65</v>
      </c>
      <c r="K7" s="4" t="n">
        <v>0.972</v>
      </c>
      <c r="L7" s="4" t="n">
        <v>0.039</v>
      </c>
      <c r="M7" s="4" t="n">
        <v>0.253</v>
      </c>
      <c r="N7" s="4" t="n">
        <v>0.8</v>
      </c>
    </row>
    <row r="8">
      <c r="A8" t="inlineStr">
        <is>
          <t>Body Mass Index Percentile Documentation</t>
        </is>
      </c>
      <c r="B8" t="n">
        <v>2024</v>
      </c>
      <c r="C8" t="inlineStr">
        <is>
          <t>Medicaid (Title XIX), Title XXI-funded Medicaid Expansion CHIP</t>
        </is>
      </c>
      <c r="D8" t="inlineStr">
        <is>
          <t>Hybrid</t>
        </is>
      </c>
      <c r="E8" t="inlineStr">
        <is>
          <t>Percentage with an Outpatient Visit and Body Mass Index Percentile Documented in the Medical Record: Ages 3 to 17</t>
        </is>
      </c>
      <c r="F8" t="inlineStr">
        <is>
          <t>Higher values are better</t>
        </is>
      </c>
      <c r="G8" t="inlineStr">
        <is>
          <t>Mathematica analysis of the Quality Measure Reporting (QMR) system reports for the 2024 Core Set as of April 28, 2025.</t>
        </is>
      </c>
      <c r="H8" t="inlineStr">
        <is>
          <t>State-specific comments: Medicaid rates include managed care population (15 MCOs). State reported that rates exclude the following populations: "New York State received a one-year exemption from reporting this measure for the FFS population." The state described the "other" data sources used to calculate the measure as the following: "Health Plan Billing Data." Rates were audited or validated.</t>
        </is>
      </c>
      <c r="I8" s="4" t="n">
        <v>0.869</v>
      </c>
      <c r="J8" s="4" t="n">
        <v>0.65</v>
      </c>
      <c r="K8" s="4" t="n">
        <v>0.972</v>
      </c>
      <c r="L8" s="4" t="n">
        <v>0.039</v>
      </c>
      <c r="M8" s="4" t="n">
        <v>0.253</v>
      </c>
      <c r="N8" s="4" t="n">
        <v>0.8</v>
      </c>
    </row>
    <row r="9">
      <c r="A9" t="inlineStr">
        <is>
          <t>Body Mass Index Percentile Documentation</t>
        </is>
      </c>
      <c r="B9" t="n">
        <v>2024</v>
      </c>
      <c r="C9" t="inlineStr">
        <is>
          <t>Separate CHIP (Title XXI)</t>
        </is>
      </c>
      <c r="D9" t="inlineStr">
        <is>
          <t>Hybrid</t>
        </is>
      </c>
      <c r="E9" t="inlineStr">
        <is>
          <t>Percentage with an Outpatient Visit and Body Mass Index Percentile Documented in the Medical Record: Ages 3 to 17</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Data." Rates were audited or validated.</t>
        </is>
      </c>
      <c r="I9" s="4" t="n">
        <v>0.874</v>
      </c>
      <c r="J9" s="4" t="n">
        <v>0.65</v>
      </c>
      <c r="K9" s="4" t="n">
        <v>0.972</v>
      </c>
      <c r="L9" s="4" t="n">
        <v>0.039</v>
      </c>
      <c r="M9" s="4" t="n">
        <v>0.253</v>
      </c>
      <c r="N9" s="4" t="n">
        <v>0.8</v>
      </c>
    </row>
    <row r="10">
      <c r="A10" t="inlineStr">
        <is>
          <t>Counseling for Nutrition</t>
        </is>
      </c>
      <c r="B10" t="n">
        <v>2021</v>
      </c>
      <c r="C10" t="inlineStr">
        <is>
          <t>Medicaid &amp; CHIP</t>
        </is>
      </c>
      <c r="D10" t="inlineStr">
        <is>
          <t>Hybrid</t>
        </is>
      </c>
      <c r="E10" t="inlineStr">
        <is>
          <t>Percentage with an Outpatient Visit and Counseling for Nutrition Documented in the Medical Record: Ages 3 to 17</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Denominator is the sample size; measure-eligible population is 1,328,381. Rates were audited or validated.</t>
        </is>
      </c>
      <c r="I10" s="4" t="n">
        <v>0.77</v>
      </c>
      <c r="J10" s="4" t="n">
        <v>0.657</v>
      </c>
      <c r="K10" s="4" t="n">
        <v>0.822</v>
      </c>
      <c r="L10" s="4" t="n">
        <v>0.03</v>
      </c>
      <c r="M10" s="4" t="n">
        <v>0.535</v>
      </c>
      <c r="N10" s="4" t="n">
        <v>0.752</v>
      </c>
    </row>
    <row r="11">
      <c r="A11" t="inlineStr">
        <is>
          <t>Counseling for Nutrition</t>
        </is>
      </c>
      <c r="B11" t="n">
        <v>2022</v>
      </c>
      <c r="C11" t="inlineStr">
        <is>
          <t>Medicaid &amp; CHIP</t>
        </is>
      </c>
      <c r="D11" t="inlineStr">
        <is>
          <t>Hybrid</t>
        </is>
      </c>
      <c r="E11" t="inlineStr">
        <is>
          <t>Percentage with an Outpatient Visit and Counseling for Nutrition Documented in the Medical Record: Ages 3 to 17</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Denominator is the sample size; measure-eligible population is 1,459,587. Rates were audited or validated.</t>
        </is>
      </c>
      <c r="I11" s="4" t="n">
        <v>0.842</v>
      </c>
      <c r="J11" s="4" t="n">
        <v>0.636</v>
      </c>
      <c r="K11" s="4" t="n">
        <v>0.842</v>
      </c>
      <c r="L11" s="4" t="n">
        <v>0.012</v>
      </c>
      <c r="M11" s="4" t="n">
        <v>0.367</v>
      </c>
      <c r="N11" s="4" t="n">
        <v>0.743</v>
      </c>
    </row>
    <row r="12">
      <c r="A12" t="inlineStr">
        <is>
          <t>Counseling for Nutrition</t>
        </is>
      </c>
      <c r="B12" t="n">
        <v>2023</v>
      </c>
      <c r="C12" t="inlineStr">
        <is>
          <t>Medicaid &amp; CHIP</t>
        </is>
      </c>
      <c r="D12" t="inlineStr">
        <is>
          <t>Hybrid</t>
        </is>
      </c>
      <c r="E12" t="inlineStr">
        <is>
          <t>Percentage with an Outpatient Visit and Counseling for Nutrition Documented in the Medical Record: Ages 3 to 17</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Denominator is the sample size; measure-eligible population is 1,487,560. Rates were audited or validated.</t>
        </is>
      </c>
      <c r="I12" s="4" t="n">
        <v>0.823</v>
      </c>
      <c r="J12" s="4" t="n">
        <v>0.635</v>
      </c>
      <c r="K12" s="4" t="n">
        <v>0.84</v>
      </c>
      <c r="L12" s="4" t="n">
        <v>0.01</v>
      </c>
      <c r="M12" s="4" t="n">
        <v>0.372</v>
      </c>
      <c r="N12" s="4" t="n">
        <v>0.735</v>
      </c>
    </row>
    <row r="13">
      <c r="A13" t="inlineStr">
        <is>
          <t>Counseling for Nutrition</t>
        </is>
      </c>
      <c r="B13" t="n">
        <v>2024</v>
      </c>
      <c r="C13" t="inlineStr">
        <is>
          <t>Medicaid (Title XIX), Title XXI-funded Medicaid Expansion CHIP, Separate CHIP (Title XXI)</t>
        </is>
      </c>
      <c r="D13" t="inlineStr">
        <is>
          <t>Hybrid</t>
        </is>
      </c>
      <c r="E13" t="inlineStr">
        <is>
          <t>Percentage with an Outpatient Visit and Counseling for Nutrition Documented in the Medical Record: Ages 3 to 17</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0.836</v>
      </c>
      <c r="J13" s="4" t="n">
        <v>0.394</v>
      </c>
      <c r="K13" s="4" t="n">
        <v>0.88</v>
      </c>
      <c r="L13" s="4" t="n">
        <v>0.004</v>
      </c>
      <c r="M13" s="4" t="n">
        <v>0.141</v>
      </c>
      <c r="N13" s="4" t="n">
        <v>0.727</v>
      </c>
    </row>
    <row r="14">
      <c r="A14" t="inlineStr">
        <is>
          <t>Counseling for Nutrition</t>
        </is>
      </c>
      <c r="B14" t="n">
        <v>2024</v>
      </c>
      <c r="C14" t="inlineStr">
        <is>
          <t>Medicaid (Title XIX), Title XXI-funded Medicaid Expansion CHIP</t>
        </is>
      </c>
      <c r="D14" t="inlineStr">
        <is>
          <t>Hybrid</t>
        </is>
      </c>
      <c r="E14" t="inlineStr">
        <is>
          <t>Percentage with an Outpatient Visit and Counseling for Nutrition Documented in the Medical Record: Ages 3 to 17</t>
        </is>
      </c>
      <c r="F14" t="inlineStr">
        <is>
          <t>Higher values are better</t>
        </is>
      </c>
      <c r="G14" t="inlineStr">
        <is>
          <t>Mathematica analysis of the Quality Measure Reporting (QMR) system reports for the 2024 Core Set as of April 28, 2025.</t>
        </is>
      </c>
      <c r="H14" t="inlineStr">
        <is>
          <t>State-specific comments: Medicaid rates include managed care population (15 MCOs). State reported that rates exclude the following populations: "New York State received a one-year exemption from reporting this measure for the FFS population." The state described the "other" data sources used to calculate the measure as the following: "Health Plan Billing Data." Rates were audited or validated.</t>
        </is>
      </c>
      <c r="I14" s="4" t="n">
        <v>0.837</v>
      </c>
      <c r="J14" s="4" t="n">
        <v>0.394</v>
      </c>
      <c r="K14" s="4" t="n">
        <v>0.88</v>
      </c>
      <c r="L14" s="4" t="n">
        <v>0.004</v>
      </c>
      <c r="M14" s="4" t="n">
        <v>0.141</v>
      </c>
      <c r="N14" s="4" t="n">
        <v>0.727</v>
      </c>
    </row>
    <row r="15">
      <c r="A15" t="inlineStr">
        <is>
          <t>Counseling for Nutrition</t>
        </is>
      </c>
      <c r="B15" t="n">
        <v>2024</v>
      </c>
      <c r="C15" t="inlineStr">
        <is>
          <t>Separate CHIP (Title XXI)</t>
        </is>
      </c>
      <c r="D15" t="inlineStr">
        <is>
          <t>Hybrid</t>
        </is>
      </c>
      <c r="E15" t="inlineStr">
        <is>
          <t>Percentage with an Outpatient Visit and Counseling for Nutrition Documented in the Medical Record: Ages 3 to 17</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Data." Rates were audited or validated.</t>
        </is>
      </c>
      <c r="I15" s="4" t="n">
        <v>0.832</v>
      </c>
      <c r="J15" s="4" t="n">
        <v>0.394</v>
      </c>
      <c r="K15" s="4" t="n">
        <v>0.88</v>
      </c>
      <c r="L15" s="4" t="n">
        <v>0.004</v>
      </c>
      <c r="M15" s="4" t="n">
        <v>0.141</v>
      </c>
      <c r="N15" s="4" t="n">
        <v>0.727</v>
      </c>
    </row>
    <row r="16">
      <c r="A16" t="inlineStr">
        <is>
          <t>Counseling for Physical Activity</t>
        </is>
      </c>
      <c r="B16" t="n">
        <v>2021</v>
      </c>
      <c r="C16" t="inlineStr">
        <is>
          <t>Medicaid &amp; CHIP</t>
        </is>
      </c>
      <c r="D16" t="inlineStr">
        <is>
          <t>Hybrid</t>
        </is>
      </c>
      <c r="E16" t="inlineStr">
        <is>
          <t>Percentage with an Outpatient Visit and Counseling for Physical Activity Documented in the Medical Record: Ages 3 to 17</t>
        </is>
      </c>
      <c r="F16" t="inlineStr">
        <is>
          <t>Higher values are better</t>
        </is>
      </c>
      <c r="G16" t="inlineStr">
        <is>
          <t>Mathematica analysis of the Quality Measure Reporting (QMR) system reports for the FFY 2021 reporting cycle as of June 1, 2023.</t>
        </is>
      </c>
      <c r="H16" t="inlineStr">
        <is>
          <t>State-specific comments: Rates include managed care population (16 MCOs). The state described the "other" data sources used to calculate the measure as the following: "Health Plan Billing Data." Denominator is the sample size; measure-eligible population is 1,328,381. Rates were audited or validated.</t>
        </is>
      </c>
      <c r="I16" s="4" t="n">
        <v>0.715</v>
      </c>
      <c r="J16" s="4" t="n">
        <v>0.603</v>
      </c>
      <c r="K16" s="4" t="n">
        <v>0.792</v>
      </c>
      <c r="L16" s="4" t="n">
        <v>0.027</v>
      </c>
      <c r="M16" s="4" t="n">
        <v>0.5</v>
      </c>
      <c r="N16" s="4" t="n">
        <v>0.715</v>
      </c>
    </row>
    <row r="17">
      <c r="A17" t="inlineStr">
        <is>
          <t>Counseling for Physical Activity</t>
        </is>
      </c>
      <c r="B17" t="n">
        <v>2022</v>
      </c>
      <c r="C17" t="inlineStr">
        <is>
          <t>Medicaid &amp; CHIP</t>
        </is>
      </c>
      <c r="D17" t="inlineStr">
        <is>
          <t>Hybrid</t>
        </is>
      </c>
      <c r="E17" t="inlineStr">
        <is>
          <t>Percentage with an Outpatient Visit and Counseling for Physical Activity Documented in the Medical Record: Ages 3 to 17</t>
        </is>
      </c>
      <c r="F17" t="inlineStr">
        <is>
          <t>Higher values are better</t>
        </is>
      </c>
      <c r="G17" t="inlineStr">
        <is>
          <t>Mathematica analysis of the Quality Measure Reporting (QMR) system reports for the FFY 2022 reporting cycle as of June 1, 2023.</t>
        </is>
      </c>
      <c r="H17" t="inlineStr">
        <is>
          <t>State-specific comments: Rates include managed care population (16 MCOs). The state described the "other" data sources used to calculate the measure as the following: "Health Plan Billing Data." Denominator is the sample size; measure-eligible population is 1,459,587. Rates were audited or validated.</t>
        </is>
      </c>
      <c r="I17" s="4" t="n">
        <v>0.802</v>
      </c>
      <c r="J17" s="4" t="n">
        <v>0.584</v>
      </c>
      <c r="K17" s="4" t="n">
        <v>0.803</v>
      </c>
      <c r="L17" s="4" t="n">
        <v>0.031</v>
      </c>
      <c r="M17" s="4" t="n">
        <v>0.355</v>
      </c>
      <c r="N17" s="4" t="n">
        <v>0.716</v>
      </c>
    </row>
    <row r="18">
      <c r="A18" t="inlineStr">
        <is>
          <t>Counseling for Physical Activity</t>
        </is>
      </c>
      <c r="B18" t="n">
        <v>2023</v>
      </c>
      <c r="C18" t="inlineStr">
        <is>
          <t>Medicaid &amp; CHIP</t>
        </is>
      </c>
      <c r="D18" t="inlineStr">
        <is>
          <t>Hybrid</t>
        </is>
      </c>
      <c r="E18" t="inlineStr">
        <is>
          <t>Percentage with an Outpatient Visit and Counseling for Physical Activity Documented in the Medical Record: Ages 3 to 17</t>
        </is>
      </c>
      <c r="F18" t="inlineStr">
        <is>
          <t>Higher values are better</t>
        </is>
      </c>
      <c r="G18" t="inlineStr">
        <is>
          <t>Mathematica analysis of the Quality Measure Reporting (QMR) system reports for the 2023 Core Set as of May 16, 2024.</t>
        </is>
      </c>
      <c r="H18" t="inlineStr">
        <is>
          <t>State-specific comments: Rates include managed care population (15 MCOs). The state described the "other" data sources used to calculate the measure as the following: "Health Plan Billing Data." Denominator is the sample size; measure-eligible population is 1,487,560. Rates were audited or validated.</t>
        </is>
      </c>
      <c r="I18" s="4" t="n">
        <v>0.782</v>
      </c>
      <c r="J18" s="4" t="n">
        <v>0.599</v>
      </c>
      <c r="K18" s="4" t="n">
        <v>0.827</v>
      </c>
      <c r="L18" s="4" t="n">
        <v>0.012</v>
      </c>
      <c r="M18" s="4" t="n">
        <v>0.33</v>
      </c>
      <c r="N18" s="4" t="n">
        <v>0.708</v>
      </c>
    </row>
    <row r="19">
      <c r="A19" t="inlineStr">
        <is>
          <t>Counseling for Physical Activity</t>
        </is>
      </c>
      <c r="B19" t="n">
        <v>2024</v>
      </c>
      <c r="C19" t="inlineStr">
        <is>
          <t>Medicaid (Title XIX), Title XXI-funded Medicaid Expansion CHIP, Separate CHIP (Title XXI)</t>
        </is>
      </c>
      <c r="D19" t="inlineStr">
        <is>
          <t>Hybrid</t>
        </is>
      </c>
      <c r="E19" t="inlineStr">
        <is>
          <t>Percentage with an Outpatient Visit and Counseling for Physical Activity Documented in the Medical Record: Ages 3 to 17</t>
        </is>
      </c>
      <c r="F19" t="inlineStr">
        <is>
          <t>Higher values are better</t>
        </is>
      </c>
      <c r="G19" t="inlineStr">
        <is>
          <t>Mathematica analysis of the Quality Measure Reporting (QMR) system reports for the 2024 Core Set as of April 28, 2025.</t>
        </is>
      </c>
      <c r="H19" t="inlineStr">
        <is>
          <t>State-specific comments: Rate combines the Medicaid and separate CHIP data reported by the state in the QMR system. See Medicaid and separate CHIP state-specific comments for information about the data reported for each population.</t>
        </is>
      </c>
      <c r="I19" s="4" t="n">
        <v>0.794</v>
      </c>
      <c r="J19" s="4" t="n">
        <v>0.38</v>
      </c>
      <c r="K19" s="4" t="n">
        <v>0.838</v>
      </c>
      <c r="L19" s="4" t="n">
        <v>0.008999999999999999</v>
      </c>
      <c r="M19" s="4" t="n">
        <v>0.108</v>
      </c>
      <c r="N19" s="4" t="n">
        <v>0.696</v>
      </c>
    </row>
    <row r="20">
      <c r="A20" t="inlineStr">
        <is>
          <t>Counseling for Physical Activity</t>
        </is>
      </c>
      <c r="B20" t="n">
        <v>2024</v>
      </c>
      <c r="C20" t="inlineStr">
        <is>
          <t>Medicaid (Title XIX), Title XXI-funded Medicaid Expansion CHIP</t>
        </is>
      </c>
      <c r="D20" t="inlineStr">
        <is>
          <t>Hybrid</t>
        </is>
      </c>
      <c r="E20" t="inlineStr">
        <is>
          <t>Percentage with an Outpatient Visit and Counseling for Physical Activity Documented in the Medical Record: Ages 3 to 17</t>
        </is>
      </c>
      <c r="F20" t="inlineStr">
        <is>
          <t>Higher values are better</t>
        </is>
      </c>
      <c r="G20" t="inlineStr">
        <is>
          <t>Mathematica analysis of the Quality Measure Reporting (QMR) system reports for the 2024 Core Set as of April 28, 2025.</t>
        </is>
      </c>
      <c r="H20" t="inlineStr">
        <is>
          <t>State-specific comments: Medicaid rates include managed care population (15 MCOs). State reported that rates exclude the following populations: "New York State received a one-year exemption from reporting this measure for the FFS population." The state described the "other" data sources used to calculate the measure as the following: "Health Plan Billing Data." Rates were audited or validated.</t>
        </is>
      </c>
      <c r="I20" s="4" t="n">
        <v>0.794</v>
      </c>
      <c r="J20" s="4" t="n">
        <v>0.38</v>
      </c>
      <c r="K20" s="4" t="n">
        <v>0.838</v>
      </c>
      <c r="L20" s="4" t="n">
        <v>0.008999999999999999</v>
      </c>
      <c r="M20" s="4" t="n">
        <v>0.108</v>
      </c>
      <c r="N20" s="4" t="n">
        <v>0.696</v>
      </c>
    </row>
    <row r="21">
      <c r="A21" t="inlineStr">
        <is>
          <t>Counseling for Physical Activity</t>
        </is>
      </c>
      <c r="B21" t="n">
        <v>2024</v>
      </c>
      <c r="C21" t="inlineStr">
        <is>
          <t>Separate CHIP (Title XXI)</t>
        </is>
      </c>
      <c r="D21" t="inlineStr">
        <is>
          <t>Hybrid</t>
        </is>
      </c>
      <c r="E21" t="inlineStr">
        <is>
          <t>Percentage with an Outpatient Visit and Counseling for Physical Activity Documented in the Medical Record: Ages 3 to 17</t>
        </is>
      </c>
      <c r="F21" t="inlineStr">
        <is>
          <t>Higher values are better</t>
        </is>
      </c>
      <c r="G21" t="inlineStr">
        <is>
          <t>Mathematica analysis of the Quality Measure Reporting (QMR) system reports for the 2024 Core Set as of April 28, 2025.</t>
        </is>
      </c>
      <c r="H21" t="inlineStr">
        <is>
          <t>State-specific comments: Separate CHIP rates include managed care population (12 MCOs). The state described the "other" data sources used to calculate the measure as the following: "Health Plan Billing Data." Rates were audited or validated.</t>
        </is>
      </c>
      <c r="I21" s="4" t="n">
        <v>0.792</v>
      </c>
      <c r="J21" s="4" t="n">
        <v>0.38</v>
      </c>
      <c r="K21" s="4" t="n">
        <v>0.838</v>
      </c>
      <c r="L21" s="4" t="n">
        <v>0.008999999999999999</v>
      </c>
      <c r="M21" s="4" t="n">
        <v>0.108</v>
      </c>
      <c r="N21" s="4" t="n">
        <v>0.696</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7" customWidth="1" min="1" max="1"/>
    <col width="13" customWidth="1" min="2" max="2"/>
    <col width="60" customWidth="1" min="3" max="3"/>
    <col width="16" customWidth="1" min="4" max="4"/>
    <col width="60" customWidth="1" min="5" max="5"/>
    <col width="26" customWidth="1" min="6" max="6"/>
    <col width="60" customWidth="1" min="7" max="7"/>
    <col width="60" customWidth="1" min="8" max="8"/>
    <col width="7" customWidth="1" min="9" max="9"/>
    <col width="8" customWidth="1" min="10" max="10"/>
    <col width="9" customWidth="1" min="11" max="11"/>
    <col width="9" customWidth="1" min="12" max="12"/>
    <col width="16" customWidth="1" min="13" max="13"/>
    <col width="16" customWidth="1" min="14" max="14"/>
  </cols>
  <sheetData>
    <row r="1">
      <c r="A1" t="inlineStr">
        <is>
          <t>Measure Name</t>
        </is>
      </c>
      <c r="B1" t="inlineStr">
        <is>
          <t>Well-Child Visits in the First 30 Months of Life (W30-CH)</t>
        </is>
      </c>
    </row>
    <row r="2"/>
    <row r="3">
      <c r="A3" s="1" t="inlineStr">
        <is>
          <t>Rate</t>
        </is>
      </c>
      <c r="B3" s="1" t="inlineStr">
        <is>
          <t>Data Period</t>
        </is>
      </c>
      <c r="C3" s="1" t="inlineStr">
        <is>
          <t>Population</t>
        </is>
      </c>
      <c r="D3" s="1" t="inlineStr">
        <is>
          <t>Methodology</t>
        </is>
      </c>
      <c r="E3" s="1" t="inlineStr">
        <is>
          <t>Value Type</t>
        </is>
      </c>
      <c r="F3" s="1" t="inlineStr">
        <is>
          <t>Value Directionality</t>
        </is>
      </c>
      <c r="G3" s="1" t="inlineStr">
        <is>
          <t>Analysis Source</t>
        </is>
      </c>
      <c r="H3" s="1" t="inlineStr">
        <is>
          <t>Notes</t>
        </is>
      </c>
      <c r="I3" s="1" t="inlineStr">
        <is>
          <t>Value</t>
        </is>
      </c>
      <c r="J3" s="1" t="inlineStr">
        <is>
          <t>Median</t>
        </is>
      </c>
      <c r="K3" s="1" t="inlineStr">
        <is>
          <t>Maximum</t>
        </is>
      </c>
      <c r="L3" s="1" t="inlineStr">
        <is>
          <t>Minimum</t>
        </is>
      </c>
      <c r="M3" s="1" t="inlineStr">
        <is>
          <t>First quartile</t>
        </is>
      </c>
      <c r="N3" s="1" t="inlineStr">
        <is>
          <t>Third quartile</t>
        </is>
      </c>
    </row>
    <row r="4">
      <c r="A4" t="inlineStr">
        <is>
          <t>2+ Visits 15 to 30 months</t>
        </is>
      </c>
      <c r="B4" t="n">
        <v>2021</v>
      </c>
      <c r="C4" t="inlineStr">
        <is>
          <t>Medicaid &amp; CHIP</t>
        </is>
      </c>
      <c r="D4" t="inlineStr">
        <is>
          <t>Administrative</t>
        </is>
      </c>
      <c r="E4" t="inlineStr">
        <is>
          <t>Percentage who had 2 or More Well-Child Visits with a Primary Care Practitioner during the 15th to 30th Months of Life</t>
        </is>
      </c>
      <c r="F4" t="inlineStr">
        <is>
          <t>Higher values are better</t>
        </is>
      </c>
      <c r="G4" t="inlineStr">
        <is>
          <t>Mathematica analysis of the Quality Measure Reporting (QMR) system reports for the FFY 2021 reporting cycle as of June 1, 2023.</t>
        </is>
      </c>
      <c r="H4" t="inlineStr">
        <is>
          <t>State-specific comments: Rates include managed care population (16 MCOs). The state described the "other" data sources used to calculate the measure as the following: "Health Plan Billing Data." Rates were audited or validated.</t>
        </is>
      </c>
      <c r="I4" s="4" t="n">
        <v>0.82</v>
      </c>
      <c r="J4" s="4" t="n">
        <v>0.6919999999999999</v>
      </c>
      <c r="K4" s="4" t="n">
        <v>0.867</v>
      </c>
      <c r="L4" s="4" t="n">
        <v>0.403</v>
      </c>
      <c r="M4" s="4" t="n">
        <v>0.665</v>
      </c>
      <c r="N4" s="4" t="n">
        <v>0.761</v>
      </c>
    </row>
    <row r="5">
      <c r="A5" t="inlineStr">
        <is>
          <t>2+ Visits 15 to 30 months</t>
        </is>
      </c>
      <c r="B5" t="n">
        <v>2022</v>
      </c>
      <c r="C5" t="inlineStr">
        <is>
          <t>Medicaid &amp; CHIP</t>
        </is>
      </c>
      <c r="D5" t="inlineStr">
        <is>
          <t>Administrative</t>
        </is>
      </c>
      <c r="E5" t="inlineStr">
        <is>
          <t>Percentage who had 2 or More Well-Child Visits with a Primary Care Practitioner during the 15th to 30th Months of Life</t>
        </is>
      </c>
      <c r="F5" t="inlineStr">
        <is>
          <t>Higher values are better</t>
        </is>
      </c>
      <c r="G5" t="inlineStr">
        <is>
          <t>Mathematica analysis of the Quality Measure Reporting (QMR) system reports for the FFY 2022 reporting cycle as of June 1, 2023.</t>
        </is>
      </c>
      <c r="H5" t="inlineStr">
        <is>
          <t>State-specific comments: Rates include managed care population (16 MCOs). The state described the "other" data sources used to calculate the measure as the following: "Health Plan Billing Data." Rates were audited or validated.</t>
        </is>
      </c>
      <c r="I5" s="4" t="n">
        <v>0.782</v>
      </c>
      <c r="J5" s="4" t="n">
        <v>0.651</v>
      </c>
      <c r="K5" s="4" t="n">
        <v>0.823</v>
      </c>
      <c r="L5" s="4" t="n">
        <v>0.365</v>
      </c>
      <c r="M5" s="4" t="n">
        <v>0.604</v>
      </c>
      <c r="N5" s="4" t="n">
        <v>0.716</v>
      </c>
    </row>
    <row r="6">
      <c r="A6" t="inlineStr">
        <is>
          <t>2+ Visits 15 to 30 months</t>
        </is>
      </c>
      <c r="B6" t="n">
        <v>2023</v>
      </c>
      <c r="C6" t="inlineStr">
        <is>
          <t>Medicaid &amp; CHIP</t>
        </is>
      </c>
      <c r="D6" t="inlineStr">
        <is>
          <t>Administrative</t>
        </is>
      </c>
      <c r="E6" t="inlineStr">
        <is>
          <t>Percentage of Children who had 2 or More Well-Child Visits with a Primary Care Practitioner during the 15th to 30th Months of Life</t>
        </is>
      </c>
      <c r="F6" t="inlineStr">
        <is>
          <t>Higher values are better</t>
        </is>
      </c>
      <c r="G6" t="inlineStr">
        <is>
          <t>Mathematica analysis of the Quality Measure Reporting (QMR) system reports for the 2023 Core Set as of May 16, 2024.</t>
        </is>
      </c>
      <c r="H6" t="inlineStr">
        <is>
          <t>State-specific comments: Rates include managed care population (15 MCOs). The state described the "other" data sources used to calculate the measure as the following: "Health Plan Billing Data." Rates were audited or validated.</t>
        </is>
      </c>
      <c r="I6" s="4" t="n">
        <v>0.778</v>
      </c>
      <c r="J6" s="4" t="n">
        <v>0.648</v>
      </c>
      <c r="K6" s="4" t="n">
        <v>0.828</v>
      </c>
      <c r="L6" s="4" t="n">
        <v>0.238</v>
      </c>
      <c r="M6" s="4" t="n">
        <v>0.608</v>
      </c>
      <c r="N6" s="4" t="n">
        <v>0.705</v>
      </c>
    </row>
    <row r="7">
      <c r="A7" t="inlineStr">
        <is>
          <t>2+ Visits 15 to 30 months</t>
        </is>
      </c>
      <c r="B7" t="n">
        <v>2024</v>
      </c>
      <c r="C7" t="inlineStr">
        <is>
          <t>Medicaid (Title XIX), Title XXI-funded Medicaid Expansion CHIP, Separate CHIP (Title XXI)</t>
        </is>
      </c>
      <c r="D7" t="inlineStr">
        <is>
          <t>Administrative</t>
        </is>
      </c>
      <c r="E7" t="inlineStr">
        <is>
          <t>Percentage of Children who had 2 or More Well-Child Visits with a Primary Care Practitioner during the 15th to 30th Months of Life</t>
        </is>
      </c>
      <c r="F7" t="inlineStr">
        <is>
          <t>Higher values are better</t>
        </is>
      </c>
      <c r="G7" t="inlineStr">
        <is>
          <t>Mathematica analysis of the Quality Measure Reporting (QMR) system reports for the 2024 Core Set as of April 28, 2025.</t>
        </is>
      </c>
      <c r="H7" t="inlineStr">
        <is>
          <t>State-specific comments: Rate combines the Medicaid and separate CHIP data reported by the state in the QMR system. See Medicaid and separate CHIP state-specific comments for information about the data reported for each population.</t>
        </is>
      </c>
      <c r="I7" s="4" t="n">
        <v>0.769</v>
      </c>
      <c r="J7" s="4" t="n">
        <v>0.653</v>
      </c>
      <c r="K7" s="4" t="n">
        <v>0.836</v>
      </c>
      <c r="L7" s="4" t="n">
        <v>0.243</v>
      </c>
      <c r="M7" s="4" t="n">
        <v>0.602</v>
      </c>
      <c r="N7" s="4" t="n">
        <v>0.701</v>
      </c>
    </row>
    <row r="8">
      <c r="A8" t="inlineStr">
        <is>
          <t>2+ Visits 15 to 30 months</t>
        </is>
      </c>
      <c r="B8" t="n">
        <v>2024</v>
      </c>
      <c r="C8" t="inlineStr">
        <is>
          <t>Medicaid (Title XIX), Title XXI-funded Medicaid Expansion CHIP</t>
        </is>
      </c>
      <c r="D8" t="inlineStr">
        <is>
          <t>Administrative</t>
        </is>
      </c>
      <c r="E8" t="inlineStr">
        <is>
          <t>Percentage of Children who had 2 or More Well-Child Visits with a Primary Care Practitioner during the 15th to 30th Months of Life</t>
        </is>
      </c>
      <c r="F8" t="inlineStr">
        <is>
          <t>Higher values are better</t>
        </is>
      </c>
      <c r="G8" t="inlineStr">
        <is>
          <t>Mathematica analysis of the Quality Measure Reporting (QMR) system reports for the 2024 Core Set as of April 28, 2025.</t>
        </is>
      </c>
      <c r="H8" t="inlineStr">
        <is>
          <t>State-specific comments: Medicaid rates include FFS and managed care populations (15 MCOs). The state described the "other" data sources used to calculate the measure as the following: "Health Plan Billing Data." Rates were audited or validated.</t>
        </is>
      </c>
      <c r="I8" s="4" t="n">
        <v>0.758</v>
      </c>
      <c r="J8" s="4" t="n">
        <v>0.653</v>
      </c>
      <c r="K8" s="4" t="n">
        <v>0.836</v>
      </c>
      <c r="L8" s="4" t="n">
        <v>0.243</v>
      </c>
      <c r="M8" s="4" t="n">
        <v>0.602</v>
      </c>
      <c r="N8" s="4" t="n">
        <v>0.701</v>
      </c>
    </row>
    <row r="9">
      <c r="A9" t="inlineStr">
        <is>
          <t>2+ Visits 15 to 30 months</t>
        </is>
      </c>
      <c r="B9" t="n">
        <v>2024</v>
      </c>
      <c r="C9" t="inlineStr">
        <is>
          <t>Separate CHIP (Title XXI)</t>
        </is>
      </c>
      <c r="D9" t="inlineStr">
        <is>
          <t>Administrative</t>
        </is>
      </c>
      <c r="E9" t="inlineStr">
        <is>
          <t>Percentage of Children who had 2 or More Well-Child Visits with a Primary Care Practitioner during the 15th to 30th Months of Life</t>
        </is>
      </c>
      <c r="F9" t="inlineStr">
        <is>
          <t>Higher values are better</t>
        </is>
      </c>
      <c r="G9" t="inlineStr">
        <is>
          <t>Mathematica analysis of the Quality Measure Reporting (QMR) system reports for the 2024 Core Set as of April 28, 2025.</t>
        </is>
      </c>
      <c r="H9" t="inlineStr">
        <is>
          <t>State-specific comments: Separate CHIP rates include managed care population (12 MCOs). The state described the "other" data sources used to calculate the measure as the following: "Health Plan Billing." Rates were audited or validated.</t>
        </is>
      </c>
      <c r="I9" s="4" t="n">
        <v>0.848</v>
      </c>
      <c r="J9" s="4" t="n">
        <v>0.653</v>
      </c>
      <c r="K9" s="4" t="n">
        <v>0.836</v>
      </c>
      <c r="L9" s="4" t="n">
        <v>0.243</v>
      </c>
      <c r="M9" s="4" t="n">
        <v>0.602</v>
      </c>
      <c r="N9" s="4" t="n">
        <v>0.701</v>
      </c>
    </row>
    <row r="10">
      <c r="A10" t="inlineStr">
        <is>
          <t>6+ Visits First 15 months</t>
        </is>
      </c>
      <c r="B10" t="n">
        <v>2021</v>
      </c>
      <c r="C10" t="inlineStr">
        <is>
          <t>Medicaid &amp; CHIP</t>
        </is>
      </c>
      <c r="D10" t="inlineStr">
        <is>
          <t>Administrative</t>
        </is>
      </c>
      <c r="E10" t="inlineStr">
        <is>
          <t>Percentage who had 6 or More Well-Child Visits with a Primary Care Practitioner during the First 15 Months of Life</t>
        </is>
      </c>
      <c r="F10" t="inlineStr">
        <is>
          <t>Higher values are better</t>
        </is>
      </c>
      <c r="G10" t="inlineStr">
        <is>
          <t>Mathematica analysis of the Quality Measure Reporting (QMR) system reports for the FFY 2021 reporting cycle as of June 1, 2023.</t>
        </is>
      </c>
      <c r="H10" t="inlineStr">
        <is>
          <t>State-specific comments: Rates include managed care population (16 MCOs). The state described the "other" data sources used to calculate the measure as the following: "Health Plan Billing Data." Rates were audited or validated.</t>
        </is>
      </c>
      <c r="I10" s="4" t="n">
        <v>0.66</v>
      </c>
      <c r="J10" s="4" t="n">
        <v>0.5659999999999999</v>
      </c>
      <c r="K10" s="4" t="n">
        <v>0.789</v>
      </c>
      <c r="L10" s="4" t="n">
        <v>0.33</v>
      </c>
      <c r="M10" s="4" t="n">
        <v>0.511</v>
      </c>
      <c r="N10" s="4" t="n">
        <v>0.611</v>
      </c>
    </row>
    <row r="11">
      <c r="A11" t="inlineStr">
        <is>
          <t>6+ Visits First 15 months</t>
        </is>
      </c>
      <c r="B11" t="n">
        <v>2022</v>
      </c>
      <c r="C11" t="inlineStr">
        <is>
          <t>Medicaid &amp; CHIP</t>
        </is>
      </c>
      <c r="D11" t="inlineStr">
        <is>
          <t>Administrative</t>
        </is>
      </c>
      <c r="E11" t="inlineStr">
        <is>
          <t>Percentage who had 6 or More Well-Child Visits with a Primary Care Practitioner during the First 15 Months of Life</t>
        </is>
      </c>
      <c r="F11" t="inlineStr">
        <is>
          <t>Higher values are better</t>
        </is>
      </c>
      <c r="G11" t="inlineStr">
        <is>
          <t>Mathematica analysis of the Quality Measure Reporting (QMR) system reports for the FFY 2022 reporting cycle as of June 1, 2023.</t>
        </is>
      </c>
      <c r="H11" t="inlineStr">
        <is>
          <t>State-specific comments: Rates include managed care population (16 MCOs). The state described the "other" data sources used to calculate the measure as the following: "Health Plan Billing Data." Rates were audited or validated.</t>
        </is>
      </c>
      <c r="I11" s="4" t="n">
        <v>0.667</v>
      </c>
      <c r="J11" s="4" t="n">
        <v>0.575</v>
      </c>
      <c r="K11" s="4" t="n">
        <v>0.774</v>
      </c>
      <c r="L11" s="4" t="n">
        <v>0.282</v>
      </c>
      <c r="M11" s="4" t="n">
        <v>0.513</v>
      </c>
      <c r="N11" s="4" t="n">
        <v>0.61</v>
      </c>
    </row>
    <row r="12">
      <c r="A12" t="inlineStr">
        <is>
          <t>6+ Visits First 15 months</t>
        </is>
      </c>
      <c r="B12" t="n">
        <v>2023</v>
      </c>
      <c r="C12" t="inlineStr">
        <is>
          <t>Medicaid &amp; CHIP</t>
        </is>
      </c>
      <c r="D12" t="inlineStr">
        <is>
          <t>Administrative</t>
        </is>
      </c>
      <c r="E12" t="inlineStr">
        <is>
          <t>Percentage of Children who had 6 or More Well-Child Visits with a Primary Care Practitioner during the First 15 Months of Life</t>
        </is>
      </c>
      <c r="F12" t="inlineStr">
        <is>
          <t>Higher values are better</t>
        </is>
      </c>
      <c r="G12" t="inlineStr">
        <is>
          <t>Mathematica analysis of the Quality Measure Reporting (QMR) system reports for the 2023 Core Set as of May 16, 2024.</t>
        </is>
      </c>
      <c r="H12" t="inlineStr">
        <is>
          <t>State-specific comments: Rates include managed care population (15 MCOs). The state described the "other" data sources used to calculate the measure as the following: "Health Plan Billing Data." Rates were audited or validated.</t>
        </is>
      </c>
      <c r="I12" s="4" t="n">
        <v>0.673</v>
      </c>
      <c r="J12" s="4" t="n">
        <v>0.592</v>
      </c>
      <c r="K12" s="4" t="n">
        <v>0.791</v>
      </c>
      <c r="L12" s="4" t="n">
        <v>0.07199999999999999</v>
      </c>
      <c r="M12" s="4" t="n">
        <v>0.542</v>
      </c>
      <c r="N12" s="4" t="n">
        <v>0.627</v>
      </c>
    </row>
    <row r="13">
      <c r="A13" t="inlineStr">
        <is>
          <t>6+ Visits First 15 months</t>
        </is>
      </c>
      <c r="B13" t="n">
        <v>2024</v>
      </c>
      <c r="C13" t="inlineStr">
        <is>
          <t>Medicaid (Title XIX), Title XXI-funded Medicaid Expansion CHIP, Separate CHIP (Title XXI)</t>
        </is>
      </c>
      <c r="D13" t="inlineStr">
        <is>
          <t>Administrative</t>
        </is>
      </c>
      <c r="E13" t="inlineStr">
        <is>
          <t>Percentage of Children who had 6 or More Well-Child Visits with a Primary Care Practitioner during the First 15 Months of Life</t>
        </is>
      </c>
      <c r="F13" t="inlineStr">
        <is>
          <t>Higher values are better</t>
        </is>
      </c>
      <c r="G13" t="inlineStr">
        <is>
          <t>Mathematica analysis of the Quality Measure Reporting (QMR) system reports for the 2024 Core Set as of April 28, 2025.</t>
        </is>
      </c>
      <c r="H13" t="inlineStr">
        <is>
          <t>State-specific comments: Rate combines the Medicaid and separate CHIP data reported by the state in the QMR system. See Medicaid and separate CHIP state-specific comments for information about the data reported for each population.</t>
        </is>
      </c>
      <c r="I13" s="4" t="n">
        <v>0.662</v>
      </c>
      <c r="J13" s="4" t="n">
        <v>0.59</v>
      </c>
      <c r="K13" s="4" t="n">
        <v>0.791</v>
      </c>
      <c r="L13" s="4" t="n">
        <v>0.1</v>
      </c>
      <c r="M13" s="4" t="n">
        <v>0.507</v>
      </c>
      <c r="N13" s="4" t="n">
        <v>0.625</v>
      </c>
    </row>
    <row r="14">
      <c r="A14" t="inlineStr">
        <is>
          <t>6+ Visits First 15 months</t>
        </is>
      </c>
      <c r="B14" t="n">
        <v>2024</v>
      </c>
      <c r="C14" t="inlineStr">
        <is>
          <t>Medicaid (Title XIX), Title XXI-funded Medicaid Expansion CHIP</t>
        </is>
      </c>
      <c r="D14" t="inlineStr">
        <is>
          <t>Administrative</t>
        </is>
      </c>
      <c r="E14" t="inlineStr">
        <is>
          <t>Percentage of Children who had 6 or More Well-Child Visits with a Primary Care Practitioner during the First 15 Months of Life</t>
        </is>
      </c>
      <c r="F14" t="inlineStr">
        <is>
          <t>Higher values are better</t>
        </is>
      </c>
      <c r="G14" t="inlineStr">
        <is>
          <t>Mathematica analysis of the Quality Measure Reporting (QMR) system reports for the 2024 Core Set as of April 28, 2025.</t>
        </is>
      </c>
      <c r="H14" t="inlineStr">
        <is>
          <t>State-specific comments: Medicaid rates include FFS and managed care populations (15 MCOs). The state described the "other" data sources used to calculate the measure as the following: "Health Plan Billing Data." Rates were audited or validated.</t>
        </is>
      </c>
      <c r="I14" s="4" t="n">
        <v>0.652</v>
      </c>
      <c r="J14" s="4" t="n">
        <v>0.59</v>
      </c>
      <c r="K14" s="4" t="n">
        <v>0.791</v>
      </c>
      <c r="L14" s="4" t="n">
        <v>0.1</v>
      </c>
      <c r="M14" s="4" t="n">
        <v>0.507</v>
      </c>
      <c r="N14" s="4" t="n">
        <v>0.625</v>
      </c>
    </row>
    <row r="15">
      <c r="A15" t="inlineStr">
        <is>
          <t>6+ Visits First 15 months</t>
        </is>
      </c>
      <c r="B15" t="n">
        <v>2024</v>
      </c>
      <c r="C15" t="inlineStr">
        <is>
          <t>Separate CHIP (Title XXI)</t>
        </is>
      </c>
      <c r="D15" t="inlineStr">
        <is>
          <t>Administrative</t>
        </is>
      </c>
      <c r="E15" t="inlineStr">
        <is>
          <t>Percentage of Children who had 6 or More Well-Child Visits with a Primary Care Practitioner during the First 15 Months of Life</t>
        </is>
      </c>
      <c r="F15" t="inlineStr">
        <is>
          <t>Higher values are better</t>
        </is>
      </c>
      <c r="G15" t="inlineStr">
        <is>
          <t>Mathematica analysis of the Quality Measure Reporting (QMR) system reports for the 2024 Core Set as of April 28, 2025.</t>
        </is>
      </c>
      <c r="H15" t="inlineStr">
        <is>
          <t>State-specific comments: Separate CHIP rates include managed care population (12 MCOs). The state described the "other" data sources used to calculate the measure as the following: "Health Plan Billing." Rates were audited or validated.</t>
        </is>
      </c>
      <c r="I15" s="4" t="n">
        <v>0.751</v>
      </c>
      <c r="J15" s="4" t="n">
        <v>0.59</v>
      </c>
      <c r="K15" s="4" t="n">
        <v>0.791</v>
      </c>
      <c r="L15" s="4" t="n">
        <v>0.1</v>
      </c>
      <c r="M15" s="4" t="n">
        <v>0.507</v>
      </c>
      <c r="N15" s="4" t="n">
        <v>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2026-02-17T14:50:06Z</dcterms:created>
  <dcterms:modified xsi:type="dcterms:W3CDTF">2026-02-17T14:50:12Z</dcterms:modified>
</cp:coreProperties>
</file>