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1. Child Core Set Reporting" sheetId="2" state="visible" r:id="rId2"/>
    <sheet name="2. Adult Core Set Reporting" sheetId="3" state="visible" r:id="rId3"/>
    <sheet name="3. SAA-AD" sheetId="4" state="visible" r:id="rId4"/>
    <sheet name="4. AMB-CH" sheetId="5" state="visible" r:id="rId5"/>
    <sheet name="5. AMM-AD" sheetId="6" state="visible" r:id="rId6"/>
    <sheet name="6. AMR-CH" sheetId="7" state="visible" r:id="rId7"/>
    <sheet name="7. AMR-AD" sheetId="8" state="visible" r:id="rId8"/>
    <sheet name="8. AAB-CH" sheetId="9" state="visible" r:id="rId9"/>
    <sheet name="9. AAB-AD" sheetId="10" state="visible" r:id="rId10"/>
    <sheet name="10. BCS-AD" sheetId="11" state="visible" r:id="rId11"/>
    <sheet name="11. CPC-CH" sheetId="12" state="visible" r:id="rId12"/>
    <sheet name="12. CPA-AD" sheetId="13" state="visible" r:id="rId13"/>
    <sheet name="13. CCS-AD" sheetId="14" state="visible" r:id="rId14"/>
    <sheet name="14. WCV-CH" sheetId="15" state="visible" r:id="rId15"/>
    <sheet name="15. CIS-CH" sheetId="16" state="visible" r:id="rId16"/>
    <sheet name="16. CHL-CH" sheetId="17" state="visible" r:id="rId17"/>
    <sheet name="17. CHL-AD" sheetId="18" state="visible" r:id="rId18"/>
    <sheet name="18. COL-AD" sheetId="19" state="visible" r:id="rId19"/>
    <sheet name="19. COB-AD" sheetId="20" state="visible" r:id="rId20"/>
    <sheet name="20. CCW-CH" sheetId="21" state="visible" r:id="rId21"/>
    <sheet name="21. CCW-AD" sheetId="22" state="visible" r:id="rId22"/>
    <sheet name="22. CCP-CH" sheetId="23" state="visible" r:id="rId23"/>
    <sheet name="23. CCP-AD" sheetId="24" state="visible" r:id="rId24"/>
    <sheet name="24. CBP-AD" sheetId="25" state="visible" r:id="rId25"/>
    <sheet name="25. DEV-CH" sheetId="26" state="visible" r:id="rId26"/>
    <sheet name="26. SSD-AD" sheetId="27" state="visible" r:id="rId27"/>
    <sheet name="27. FVA-AD" sheetId="28" state="visible" r:id="rId28"/>
    <sheet name="28. FUM-CH" sheetId="29" state="visible" r:id="rId29"/>
    <sheet name="29. FUM-AD" sheetId="30" state="visible" r:id="rId30"/>
    <sheet name="30. FUA-CH" sheetId="31" state="visible" r:id="rId31"/>
    <sheet name="31. FUA-AD" sheetId="32" state="visible" r:id="rId32"/>
    <sheet name="32. FUH-CH" sheetId="33" state="visible" r:id="rId33"/>
    <sheet name="33. FUH-AD" sheetId="34" state="visible" r:id="rId34"/>
    <sheet name="34. ADD-CH" sheetId="35" state="visible" r:id="rId35"/>
    <sheet name="35. HBD-AD" sheetId="36" state="visible" r:id="rId36"/>
    <sheet name="36. IMA-CH" sheetId="37" state="visible" r:id="rId37"/>
    <sheet name="37. IET-AD" sheetId="38" state="visible" r:id="rId38"/>
    <sheet name="38. LSC-CH" sheetId="39" state="visible" r:id="rId39"/>
    <sheet name="39. LBW-CH" sheetId="40" state="visible" r:id="rId40"/>
    <sheet name="40. LRCD-CH" sheetId="41" state="visible" r:id="rId41"/>
    <sheet name="41. MSC-AD" sheetId="42" state="visible" r:id="rId42"/>
    <sheet name="42. APM-CH" sheetId="43" state="visible" r:id="rId43"/>
    <sheet name="43. NCIIDD-AD" sheetId="44" state="visible" r:id="rId44"/>
    <sheet name="44. OEV-CH" sheetId="45" state="visible" r:id="rId45"/>
    <sheet name="45. PDENT-CH" sheetId="46" state="visible" r:id="rId46"/>
    <sheet name="46. PCR-AD" sheetId="47" state="visible" r:id="rId47"/>
    <sheet name="47. PQI01-AD" sheetId="48" state="visible" r:id="rId48"/>
    <sheet name="48. PQI05-AD" sheetId="49" state="visible" r:id="rId49"/>
    <sheet name="49. PQI08-AD" sheetId="50" state="visible" r:id="rId50"/>
    <sheet name="50. PQI15-AD" sheetId="51" state="visible" r:id="rId51"/>
    <sheet name="51. PPC-CH" sheetId="52" state="visible" r:id="rId52"/>
    <sheet name="52. PPC-AD" sheetId="53" state="visible" r:id="rId53"/>
    <sheet name="53. PPC2-CH" sheetId="54" state="visible" r:id="rId54"/>
    <sheet name="54. PPC2-AD" sheetId="55" state="visible" r:id="rId55"/>
    <sheet name="55. CDF-CH" sheetId="56" state="visible" r:id="rId56"/>
    <sheet name="56. CDF-AD" sheetId="57" state="visible" r:id="rId57"/>
    <sheet name="57. SFM-CH" sheetId="58" state="visible" r:id="rId58"/>
    <sheet name="58. TFL-CH" sheetId="59" state="visible" r:id="rId59"/>
    <sheet name="59. APP-CH" sheetId="60" state="visible" r:id="rId60"/>
    <sheet name="60. OHD-AD" sheetId="61" state="visible" r:id="rId61"/>
    <sheet name="61. OUD-AD" sheetId="62" state="visible" r:id="rId62"/>
    <sheet name="62. WCC-CH" sheetId="63" state="visible" r:id="rId63"/>
    <sheet name="63. W30-CH" sheetId="64" state="visible" r:id="rId64"/>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6">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164" fontId="0" fillId="0" borderId="0" pivotButton="0" quotePrefix="0" xfId="0"/>
    <xf numFmtId="165" fontId="0" fillId="0" borderId="0" pivotButton="0" quotePrefix="0" xfId="0"/>
    <xf numFmtId="166"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styles" Target="styles.xml" Id="rId65" /><Relationship Type="http://schemas.openxmlformats.org/officeDocument/2006/relationships/theme" Target="theme/theme1.xml" Id="rId6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60" customWidth="1" min="1" max="1"/>
    <col width="60" customWidth="1" min="2" max="2"/>
    <col width="18" customWidth="1" min="3" max="3"/>
    <col width="14" customWidth="1" min="4" max="4"/>
    <col width="16" customWidth="1" min="5" max="5"/>
  </cols>
  <sheetData>
    <row r="1">
      <c r="A1" t="inlineStr">
        <is>
          <t>Exported from the Centers for Medicare &amp; Medicaid Services (CMS) Medicaid and Children's Health Insurance Program (CHIP) Core Set Data Dashboard, https://www.medicaid.gov/medicaid/quality-of-care/core-set-data-dashboard/</t>
        </is>
      </c>
    </row>
    <row r="2">
      <c r="A2" t="inlineStr">
        <is>
          <t>State: Texas</t>
        </is>
      </c>
    </row>
    <row r="3">
      <c r="A3" t="inlineStr">
        <is>
          <t>This file contains data for all measures reported by Texas. Navigate to specific measure data by clicking on the corresponding Tab link in column A.</t>
        </is>
      </c>
    </row>
    <row r="6">
      <c r="A6" s="1" t="inlineStr">
        <is>
          <t>Tab Link</t>
        </is>
      </c>
      <c r="B6" s="1" t="inlineStr">
        <is>
          <t>Measure Name</t>
        </is>
      </c>
      <c r="C6" s="1" t="inlineStr">
        <is>
          <t>Data Period Type</t>
        </is>
      </c>
      <c r="D6" s="1" t="inlineStr">
        <is>
          <t>Data Periods</t>
        </is>
      </c>
      <c r="E6" s="1" t="inlineStr">
        <is>
          <t>Data Source</t>
        </is>
      </c>
    </row>
    <row r="7">
      <c r="A7" s="2">
        <f>HYPERLINK("#'1. Child Core Set Reporting'!A1", "1. Child Core Set Reporting")</f>
        <v/>
      </c>
      <c r="B7" t="inlineStr">
        <is>
          <t>Child Core Set Reporting</t>
        </is>
      </c>
      <c r="C7" t="inlineStr">
        <is>
          <t>Core Set Year</t>
        </is>
      </c>
      <c r="D7" t="inlineStr">
        <is>
          <t>2021-2024</t>
        </is>
      </c>
      <c r="E7" t="inlineStr">
        <is>
          <t>Child Core Set</t>
        </is>
      </c>
    </row>
    <row r="8">
      <c r="A8" s="2">
        <f>HYPERLINK("#'2. Adult Core Set Reporting'!A1", "2. Adult Core Set Reporting")</f>
        <v/>
      </c>
      <c r="B8" t="inlineStr">
        <is>
          <t>Adult Core Set Reporting</t>
        </is>
      </c>
      <c r="C8" t="inlineStr">
        <is>
          <t>Core Set Year</t>
        </is>
      </c>
      <c r="D8" t="inlineStr">
        <is>
          <t>2021-2024</t>
        </is>
      </c>
      <c r="E8" t="inlineStr">
        <is>
          <t>Adult Core Set</t>
        </is>
      </c>
    </row>
    <row r="9">
      <c r="A9" s="2">
        <f>HYPERLINK("#'3. SAA-AD'!A1", "3. SAA-AD")</f>
        <v/>
      </c>
      <c r="B9" t="inlineStr">
        <is>
          <t>Adherence to Antipsychotic Medications for Individuals with Schizophrenia: Age 18 and Older (SAA-AD)</t>
        </is>
      </c>
      <c r="C9" t="inlineStr">
        <is>
          <t>Core Set Year</t>
        </is>
      </c>
      <c r="D9" t="inlineStr">
        <is>
          <t>2021-2024</t>
        </is>
      </c>
      <c r="E9" t="inlineStr">
        <is>
          <t>Adult Core Set</t>
        </is>
      </c>
    </row>
    <row r="10">
      <c r="A10" s="2">
        <f>HYPERLINK("#'4. AMB-CH'!A1", "4. AMB-CH")</f>
        <v/>
      </c>
      <c r="B10" t="inlineStr">
        <is>
          <t>Ambulatory Care: Emergency Department (ED) Visits: Ages 0 to 19 (AMB-CH)</t>
        </is>
      </c>
      <c r="C10" t="inlineStr">
        <is>
          <t>Core Set Year</t>
        </is>
      </c>
      <c r="D10" t="inlineStr">
        <is>
          <t>2021-2024</t>
        </is>
      </c>
      <c r="E10" t="inlineStr">
        <is>
          <t>Child Core Set</t>
        </is>
      </c>
    </row>
    <row r="11">
      <c r="A11" s="2">
        <f>HYPERLINK("#'5. AMM-AD'!A1", "5. AMM-AD")</f>
        <v/>
      </c>
      <c r="B11" t="inlineStr">
        <is>
          <t>Antidepressant Medication Management: Age 18 and Older (AMM-AD)</t>
        </is>
      </c>
      <c r="C11" t="inlineStr">
        <is>
          <t>Core Set Year</t>
        </is>
      </c>
      <c r="D11" t="inlineStr">
        <is>
          <t>2021-2024</t>
        </is>
      </c>
      <c r="E11" t="inlineStr">
        <is>
          <t>Adult Core Set</t>
        </is>
      </c>
    </row>
    <row r="12">
      <c r="A12" s="2">
        <f>HYPERLINK("#'6. AMR-CH'!A1", "6. AMR-CH")</f>
        <v/>
      </c>
      <c r="B12" t="inlineStr">
        <is>
          <t>Asthma Medication Ratio: Ages 5 to 18 (AMR-CH)</t>
        </is>
      </c>
      <c r="C12" t="inlineStr">
        <is>
          <t>Core Set Year</t>
        </is>
      </c>
      <c r="D12" t="inlineStr">
        <is>
          <t>2021-2024</t>
        </is>
      </c>
      <c r="E12" t="inlineStr">
        <is>
          <t>Child Core Set</t>
        </is>
      </c>
    </row>
    <row r="13">
      <c r="A13" s="2">
        <f>HYPERLINK("#'7. AMR-AD'!A1", "7. AMR-AD")</f>
        <v/>
      </c>
      <c r="B13" t="inlineStr">
        <is>
          <t>Asthma Medication Ratio: Ages 19 to 64 (AMR-AD)</t>
        </is>
      </c>
      <c r="C13" t="inlineStr">
        <is>
          <t>Core Set Year</t>
        </is>
      </c>
      <c r="D13" t="inlineStr">
        <is>
          <t>2021-2024</t>
        </is>
      </c>
      <c r="E13" t="inlineStr">
        <is>
          <t>Adult Core Set</t>
        </is>
      </c>
    </row>
    <row r="14">
      <c r="A14" s="2">
        <f>HYPERLINK("#'8. AAB-CH'!A1", "8. AAB-CH")</f>
        <v/>
      </c>
      <c r="B14" t="inlineStr">
        <is>
          <t>Avoidance of Antibiotic Treatment for Acute Bronchitis/Bronchiolitis: Ages 3 Months to 17 Years (AAB-CH)</t>
        </is>
      </c>
      <c r="C14" t="inlineStr">
        <is>
          <t>Core Set Year</t>
        </is>
      </c>
      <c r="D14" t="inlineStr">
        <is>
          <t>2023-2024</t>
        </is>
      </c>
      <c r="E14" t="inlineStr">
        <is>
          <t>Child Core Set</t>
        </is>
      </c>
    </row>
    <row r="15">
      <c r="A15" s="2">
        <f>HYPERLINK("#'9. AAB-AD'!A1", "9. AAB-AD")</f>
        <v/>
      </c>
      <c r="B15" t="inlineStr">
        <is>
          <t>Avoidance of Antibiotic Treatment for Acute Bronchitis/Bronchiolitis: Age 18 and Older (AAB-AD)</t>
        </is>
      </c>
      <c r="C15" t="inlineStr">
        <is>
          <t>Core Set Year</t>
        </is>
      </c>
      <c r="D15" t="inlineStr">
        <is>
          <t>2022-2024</t>
        </is>
      </c>
      <c r="E15" t="inlineStr">
        <is>
          <t>Adult Core Set</t>
        </is>
      </c>
    </row>
    <row r="16">
      <c r="A16" s="2">
        <f>HYPERLINK("#'10. BCS-AD'!A1", "10. BCS-AD")</f>
        <v/>
      </c>
      <c r="B16" t="inlineStr">
        <is>
          <t>Breast Cancer Screening: Ages 50 to 74 (BCS-AD)</t>
        </is>
      </c>
      <c r="C16" t="inlineStr">
        <is>
          <t>Core Set Year</t>
        </is>
      </c>
      <c r="D16" t="inlineStr">
        <is>
          <t>2021-2024</t>
        </is>
      </c>
      <c r="E16" t="inlineStr">
        <is>
          <t>Adult Core Set</t>
        </is>
      </c>
    </row>
    <row r="17">
      <c r="A17" s="2">
        <f>HYPERLINK("#'11. CPC-CH'!A1", "11. CPC-CH")</f>
        <v/>
      </c>
      <c r="B17" t="inlineStr">
        <is>
          <t>CAHPS Health Plan Survey 5.1H - Child Version Including Medicaid and Children with Chronic Conditions Supplemental Items: Ages 0 to 17 (CPC-CH)</t>
        </is>
      </c>
      <c r="C17" t="inlineStr">
        <is>
          <t>Core Set Year</t>
        </is>
      </c>
      <c r="D17" t="inlineStr">
        <is>
          <t>2023-2024</t>
        </is>
      </c>
      <c r="E17" t="inlineStr">
        <is>
          <t>Child Core Set</t>
        </is>
      </c>
    </row>
    <row r="18">
      <c r="A18" s="2">
        <f>HYPERLINK("#'12. CPA-AD'!A1", "12. CPA-AD")</f>
        <v/>
      </c>
      <c r="B18" t="inlineStr">
        <is>
          <t>CAHPS Health Plan Survey 5.1H, Adult Version (Medicaid): Age 18 and Older (CPA-AD)</t>
        </is>
      </c>
      <c r="C18" t="inlineStr">
        <is>
          <t>Core Set Year</t>
        </is>
      </c>
      <c r="D18" t="inlineStr">
        <is>
          <t>2023-2024</t>
        </is>
      </c>
      <c r="E18" t="inlineStr">
        <is>
          <t>Adult Core Set</t>
        </is>
      </c>
    </row>
    <row r="19">
      <c r="A19" s="2">
        <f>HYPERLINK("#'13. CCS-AD'!A1", "13. CCS-AD")</f>
        <v/>
      </c>
      <c r="B19" t="inlineStr">
        <is>
          <t>Cervical Cancer Screening: Ages 21 to 64 (CCS-AD)</t>
        </is>
      </c>
      <c r="C19" t="inlineStr">
        <is>
          <t>Core Set Year</t>
        </is>
      </c>
      <c r="D19" t="inlineStr">
        <is>
          <t>2021-2024</t>
        </is>
      </c>
      <c r="E19" t="inlineStr">
        <is>
          <t>Adult Core Set</t>
        </is>
      </c>
    </row>
    <row r="20">
      <c r="A20" s="2">
        <f>HYPERLINK("#'14. WCV-CH'!A1", "14. WCV-CH")</f>
        <v/>
      </c>
      <c r="B20" t="inlineStr">
        <is>
          <t>Child and Adolescent Well-Care Visits: Ages 3 to 21 (WCV-CH)</t>
        </is>
      </c>
      <c r="C20" t="inlineStr">
        <is>
          <t>Core Set Year</t>
        </is>
      </c>
      <c r="D20" t="inlineStr">
        <is>
          <t>2021-2024</t>
        </is>
      </c>
      <c r="E20" t="inlineStr">
        <is>
          <t>Child Core Set</t>
        </is>
      </c>
    </row>
    <row r="21">
      <c r="A21" s="2">
        <f>HYPERLINK("#'15. CIS-CH'!A1", "15. CIS-CH")</f>
        <v/>
      </c>
      <c r="B21" t="inlineStr">
        <is>
          <t>Childhood Immunization Status: Age 2 (CIS-CH)</t>
        </is>
      </c>
      <c r="C21" t="inlineStr">
        <is>
          <t>Core Set Year</t>
        </is>
      </c>
      <c r="D21" t="inlineStr">
        <is>
          <t>2021-2024</t>
        </is>
      </c>
      <c r="E21" t="inlineStr">
        <is>
          <t>Child Core Set</t>
        </is>
      </c>
    </row>
    <row r="22">
      <c r="A22" s="2">
        <f>HYPERLINK("#'16. CHL-CH'!A1", "16. CHL-CH")</f>
        <v/>
      </c>
      <c r="B22" t="inlineStr">
        <is>
          <t>Chlamydia Screening in Women Ages 16 to 20 (CHL-CH)</t>
        </is>
      </c>
      <c r="C22" t="inlineStr">
        <is>
          <t>Core Set Year</t>
        </is>
      </c>
      <c r="D22" t="inlineStr">
        <is>
          <t>2021-2024</t>
        </is>
      </c>
      <c r="E22" t="inlineStr">
        <is>
          <t>Child Core Set</t>
        </is>
      </c>
    </row>
    <row r="23">
      <c r="A23" s="2">
        <f>HYPERLINK("#'17. CHL-AD'!A1", "17. CHL-AD")</f>
        <v/>
      </c>
      <c r="B23" t="inlineStr">
        <is>
          <t>Chlamydia Screening in Women Ages 21 to 24 (CHL-AD)</t>
        </is>
      </c>
      <c r="C23" t="inlineStr">
        <is>
          <t>Core Set Year</t>
        </is>
      </c>
      <c r="D23" t="inlineStr">
        <is>
          <t>2021-2024</t>
        </is>
      </c>
      <c r="E23" t="inlineStr">
        <is>
          <t>Adult Core Set</t>
        </is>
      </c>
    </row>
    <row r="24">
      <c r="A24" s="2">
        <f>HYPERLINK("#'18. COL-AD'!A1", "18. COL-AD")</f>
        <v/>
      </c>
      <c r="B24" t="inlineStr">
        <is>
          <t>Colorectal Cancer Screening: Ages 45 to 75 (COL-AD)</t>
        </is>
      </c>
      <c r="C24" t="inlineStr">
        <is>
          <t>Core Set Year</t>
        </is>
      </c>
      <c r="D24" t="inlineStr">
        <is>
          <t>2023-2024</t>
        </is>
      </c>
      <c r="E24" t="inlineStr">
        <is>
          <t>Adult Core Set</t>
        </is>
      </c>
    </row>
    <row r="25">
      <c r="A25" s="2">
        <f>HYPERLINK("#'19. COB-AD'!A1", "19. COB-AD")</f>
        <v/>
      </c>
      <c r="B25" t="inlineStr">
        <is>
          <t>Concurrent Use of Opioids and Benzodiazepines: Age 18 and Older (COB-AD)</t>
        </is>
      </c>
      <c r="C25" t="inlineStr">
        <is>
          <t>Core Set Year</t>
        </is>
      </c>
      <c r="D25" t="inlineStr">
        <is>
          <t>2021-2024</t>
        </is>
      </c>
      <c r="E25" t="inlineStr">
        <is>
          <t>Adult Core Set</t>
        </is>
      </c>
    </row>
    <row r="26">
      <c r="A26" s="2">
        <f>HYPERLINK("#'20. CCW-CH'!A1", "20. CCW-CH")</f>
        <v/>
      </c>
      <c r="B26" t="inlineStr">
        <is>
          <t>Contraceptive Care - All Women Ages 15 to 20 (CCW-CH)</t>
        </is>
      </c>
      <c r="C26" t="inlineStr">
        <is>
          <t>Core Set Year</t>
        </is>
      </c>
      <c r="D26" t="inlineStr">
        <is>
          <t>2021-2024</t>
        </is>
      </c>
      <c r="E26" t="inlineStr">
        <is>
          <t>Child Core Set</t>
        </is>
      </c>
    </row>
    <row r="27">
      <c r="A27" s="2">
        <f>HYPERLINK("#'21. CCW-AD'!A1", "21. CCW-AD")</f>
        <v/>
      </c>
      <c r="B27" t="inlineStr">
        <is>
          <t>Contraceptive Care - All Women Ages 21 to 44 (CCW-AD)</t>
        </is>
      </c>
      <c r="C27" t="inlineStr">
        <is>
          <t>Core Set Year</t>
        </is>
      </c>
      <c r="D27" t="inlineStr">
        <is>
          <t>2021-2024</t>
        </is>
      </c>
      <c r="E27" t="inlineStr">
        <is>
          <t>Adult Core Set</t>
        </is>
      </c>
    </row>
    <row r="28">
      <c r="A28" s="2">
        <f>HYPERLINK("#'22. CCP-CH'!A1", "22. CCP-CH")</f>
        <v/>
      </c>
      <c r="B28" t="inlineStr">
        <is>
          <t>Contraceptive Care - Postpartum Women Ages 15 to 20 (CCP-CH)</t>
        </is>
      </c>
      <c r="C28" t="inlineStr">
        <is>
          <t>Core Set Year</t>
        </is>
      </c>
      <c r="D28" t="inlineStr">
        <is>
          <t>2021-2024</t>
        </is>
      </c>
      <c r="E28" t="inlineStr">
        <is>
          <t>Child Core Set</t>
        </is>
      </c>
    </row>
    <row r="29">
      <c r="A29" s="2">
        <f>HYPERLINK("#'23. CCP-AD'!A1", "23. CCP-AD")</f>
        <v/>
      </c>
      <c r="B29" t="inlineStr">
        <is>
          <t>Contraceptive Care - Postpartum Women Ages 21 to 44 (CCP-AD)</t>
        </is>
      </c>
      <c r="C29" t="inlineStr">
        <is>
          <t>Core Set Year</t>
        </is>
      </c>
      <c r="D29" t="inlineStr">
        <is>
          <t>2021-2024</t>
        </is>
      </c>
      <c r="E29" t="inlineStr">
        <is>
          <t>Adult Core Set</t>
        </is>
      </c>
    </row>
    <row r="30">
      <c r="A30" s="2">
        <f>HYPERLINK("#'24. CBP-AD'!A1", "24. CBP-AD")</f>
        <v/>
      </c>
      <c r="B30" t="inlineStr">
        <is>
          <t>Controlling High Blood Pressure: Ages 18 to 85 (CBP-AD)</t>
        </is>
      </c>
      <c r="C30" t="inlineStr">
        <is>
          <t>Core Set Year</t>
        </is>
      </c>
      <c r="D30" t="inlineStr">
        <is>
          <t>2021-2024</t>
        </is>
      </c>
      <c r="E30" t="inlineStr">
        <is>
          <t>Adult Core Set</t>
        </is>
      </c>
    </row>
    <row r="31">
      <c r="A31" s="2">
        <f>HYPERLINK("#'25. DEV-CH'!A1", "25. DEV-CH")</f>
        <v/>
      </c>
      <c r="B31" t="inlineStr">
        <is>
          <t>Developmental Screening in the First Three Years of Life: Ages 0 to 3 (DEV-CH)</t>
        </is>
      </c>
      <c r="C31" t="inlineStr">
        <is>
          <t>Core Set Year</t>
        </is>
      </c>
      <c r="D31" t="inlineStr">
        <is>
          <t>2021-2024</t>
        </is>
      </c>
      <c r="E31" t="inlineStr">
        <is>
          <t>Child Core Set</t>
        </is>
      </c>
    </row>
    <row r="32">
      <c r="A32" s="2">
        <f>HYPERLINK("#'26. SSD-AD'!A1", "26. SSD-AD")</f>
        <v/>
      </c>
      <c r="B32" t="inlineStr">
        <is>
          <t>Diabetes Screening for People with Schizophrenia or Bipolar Disorder Who Are Using Antipsychotic Medications: Ages 18 to 64 (SSD-AD)</t>
        </is>
      </c>
      <c r="C32" t="inlineStr">
        <is>
          <t>Core Set Year</t>
        </is>
      </c>
      <c r="D32" t="inlineStr">
        <is>
          <t>2021-2024</t>
        </is>
      </c>
      <c r="E32" t="inlineStr">
        <is>
          <t>Adult Core Set</t>
        </is>
      </c>
    </row>
    <row r="33">
      <c r="A33" s="2">
        <f>HYPERLINK("#'27. FVA-AD'!A1", "27. FVA-AD")</f>
        <v/>
      </c>
      <c r="B33" t="inlineStr">
        <is>
          <t>Flu Vaccinations for Adults Ages 18 to 64 (FVA-AD)</t>
        </is>
      </c>
      <c r="C33" t="inlineStr">
        <is>
          <t>Core Set Year</t>
        </is>
      </c>
      <c r="D33" t="inlineStr">
        <is>
          <t>2021-2023</t>
        </is>
      </c>
      <c r="E33" t="inlineStr">
        <is>
          <t>Adult Core Set</t>
        </is>
      </c>
    </row>
    <row r="34">
      <c r="A34" s="2">
        <f>HYPERLINK("#'28. FUM-CH'!A1", "28. FUM-CH")</f>
        <v/>
      </c>
      <c r="B34" t="inlineStr">
        <is>
          <t>Follow-Up After Emergency Department Visit for Mental Illness: Ages 6 to 17 (FUM-CH)</t>
        </is>
      </c>
      <c r="C34" t="inlineStr">
        <is>
          <t>Core Set Year</t>
        </is>
      </c>
      <c r="D34" t="inlineStr">
        <is>
          <t>2022-2024</t>
        </is>
      </c>
      <c r="E34" t="inlineStr">
        <is>
          <t>Child Core Set</t>
        </is>
      </c>
    </row>
    <row r="35">
      <c r="A35" s="2">
        <f>HYPERLINK("#'29. FUM-AD'!A1", "29. FUM-AD")</f>
        <v/>
      </c>
      <c r="B35" t="inlineStr">
        <is>
          <t>Follow-Up After Emergency Department Visit for Mental Illness: Age 18 and Older (FUM-AD)</t>
        </is>
      </c>
      <c r="C35" t="inlineStr">
        <is>
          <t>Core Set Year</t>
        </is>
      </c>
      <c r="D35" t="inlineStr">
        <is>
          <t>2021-2024</t>
        </is>
      </c>
      <c r="E35" t="inlineStr">
        <is>
          <t>Adult Core Set</t>
        </is>
      </c>
    </row>
    <row r="36">
      <c r="A36" s="2">
        <f>HYPERLINK("#'30. FUA-CH'!A1", "30. FUA-CH")</f>
        <v/>
      </c>
      <c r="B36" t="inlineStr">
        <is>
          <t>Follow-Up After Emergency Department Visit for Substance Use: Ages 13 to 17 (FUA-CH)</t>
        </is>
      </c>
      <c r="C36" t="inlineStr">
        <is>
          <t>Core Set Year</t>
        </is>
      </c>
      <c r="D36" t="inlineStr">
        <is>
          <t>2022-2024</t>
        </is>
      </c>
      <c r="E36" t="inlineStr">
        <is>
          <t>Child Core Set</t>
        </is>
      </c>
    </row>
    <row r="37">
      <c r="A37" s="2">
        <f>HYPERLINK("#'31. FUA-AD'!A1", "31. FUA-AD")</f>
        <v/>
      </c>
      <c r="B37" t="inlineStr">
        <is>
          <t>Follow-Up After Emergency Department Visit for Substance Use: Age 18 and Older (FUA-AD)</t>
        </is>
      </c>
      <c r="C37" t="inlineStr">
        <is>
          <t>Core Set Year</t>
        </is>
      </c>
      <c r="D37" t="inlineStr">
        <is>
          <t>2021-2024</t>
        </is>
      </c>
      <c r="E37" t="inlineStr">
        <is>
          <t>Adult Core Set</t>
        </is>
      </c>
    </row>
    <row r="38">
      <c r="A38" s="2">
        <f>HYPERLINK("#'32. FUH-CH'!A1", "32. FUH-CH")</f>
        <v/>
      </c>
      <c r="B38" t="inlineStr">
        <is>
          <t>Follow-Up After Hospitalization for Mental Illness: Ages 6 to 17 (FUH-CH)</t>
        </is>
      </c>
      <c r="C38" t="inlineStr">
        <is>
          <t>Core Set Year</t>
        </is>
      </c>
      <c r="D38" t="inlineStr">
        <is>
          <t>2021-2024</t>
        </is>
      </c>
      <c r="E38" t="inlineStr">
        <is>
          <t>Child Core Set</t>
        </is>
      </c>
    </row>
    <row r="39">
      <c r="A39" s="2">
        <f>HYPERLINK("#'33. FUH-AD'!A1", "33. FUH-AD")</f>
        <v/>
      </c>
      <c r="B39" t="inlineStr">
        <is>
          <t>Follow-Up After Hospitalization for Mental Illness: Age 18 and Older (FUH-AD)</t>
        </is>
      </c>
      <c r="C39" t="inlineStr">
        <is>
          <t>Core Set Year</t>
        </is>
      </c>
      <c r="D39" t="inlineStr">
        <is>
          <t>2021-2024</t>
        </is>
      </c>
      <c r="E39" t="inlineStr">
        <is>
          <t>Adult Core Set</t>
        </is>
      </c>
    </row>
    <row r="40">
      <c r="A40" s="2">
        <f>HYPERLINK("#'34. ADD-CH'!A1", "34. ADD-CH")</f>
        <v/>
      </c>
      <c r="B40" t="inlineStr">
        <is>
          <t>Follow-Up Care for Children Prescribed Attention-Deficit/Hyperactivity Disorder (ADHD) Medication: Ages 6 to 12 (ADD-CH)</t>
        </is>
      </c>
      <c r="C40" t="inlineStr">
        <is>
          <t>Core Set Year</t>
        </is>
      </c>
      <c r="D40" t="inlineStr">
        <is>
          <t>2021-2024</t>
        </is>
      </c>
      <c r="E40" t="inlineStr">
        <is>
          <t>Child Core Set</t>
        </is>
      </c>
    </row>
    <row r="41">
      <c r="A41" s="2">
        <f>HYPERLINK("#'35. HBD-AD'!A1", "35. HBD-AD")</f>
        <v/>
      </c>
      <c r="B41" t="inlineStr">
        <is>
          <t>Hemoglobin A1c Control for Patients with Diabetes: Ages 18 to 75 (HBD-AD)</t>
        </is>
      </c>
      <c r="C41" t="inlineStr">
        <is>
          <t>Core Set Year</t>
        </is>
      </c>
      <c r="D41" t="inlineStr">
        <is>
          <t>2021-2024</t>
        </is>
      </c>
      <c r="E41" t="inlineStr">
        <is>
          <t>Adult Core Set</t>
        </is>
      </c>
    </row>
    <row r="42">
      <c r="A42" s="2">
        <f>HYPERLINK("#'36. IMA-CH'!A1", "36. IMA-CH")</f>
        <v/>
      </c>
      <c r="B42" t="inlineStr">
        <is>
          <t>Immunizations for Adolescents: Age 13 (IMA-CH)</t>
        </is>
      </c>
      <c r="C42" t="inlineStr">
        <is>
          <t>Core Set Year</t>
        </is>
      </c>
      <c r="D42" t="inlineStr">
        <is>
          <t>2021-2024</t>
        </is>
      </c>
      <c r="E42" t="inlineStr">
        <is>
          <t>Child Core Set</t>
        </is>
      </c>
    </row>
    <row r="43">
      <c r="A43" s="2">
        <f>HYPERLINK("#'37. IET-AD'!A1", "37. IET-AD")</f>
        <v/>
      </c>
      <c r="B43" t="inlineStr">
        <is>
          <t>Initiation and Engagement of Substance Use Disorder Treatment: Age 18 and Older (IET-AD)</t>
        </is>
      </c>
      <c r="C43" t="inlineStr">
        <is>
          <t>Core Set Year</t>
        </is>
      </c>
      <c r="D43" t="inlineStr">
        <is>
          <t>2021-2024</t>
        </is>
      </c>
      <c r="E43" t="inlineStr">
        <is>
          <t>Adult Core Set</t>
        </is>
      </c>
    </row>
    <row r="44">
      <c r="A44" s="2">
        <f>HYPERLINK("#'38. LSC-CH'!A1", "38. LSC-CH")</f>
        <v/>
      </c>
      <c r="B44" t="inlineStr">
        <is>
          <t>Lead Screening in Children: Age 2 (LSC-CH)</t>
        </is>
      </c>
      <c r="C44" t="inlineStr">
        <is>
          <t>Core Set Year</t>
        </is>
      </c>
      <c r="D44" t="inlineStr">
        <is>
          <t>2023-2024</t>
        </is>
      </c>
      <c r="E44" t="inlineStr">
        <is>
          <t>Child Core Set</t>
        </is>
      </c>
    </row>
    <row r="45">
      <c r="A45" s="2">
        <f>HYPERLINK("#'39. LBW-CH'!A1", "39. LBW-CH")</f>
        <v/>
      </c>
      <c r="B45" t="inlineStr">
        <is>
          <t>Live Births Weighing Less Than 2,500 Grams (LBW-CH)</t>
        </is>
      </c>
      <c r="C45" t="inlineStr">
        <is>
          <t>Core Set Year</t>
        </is>
      </c>
      <c r="D45" t="inlineStr">
        <is>
          <t>2021-2024</t>
        </is>
      </c>
      <c r="E45" t="inlineStr">
        <is>
          <t>Child Core Set</t>
        </is>
      </c>
    </row>
    <row r="46">
      <c r="A46" s="2">
        <f>HYPERLINK("#'40. LRCD-CH'!A1", "40. LRCD-CH")</f>
        <v/>
      </c>
      <c r="B46" t="inlineStr">
        <is>
          <t>Low-Risk Cesarean Delivery (LRCD-CH)</t>
        </is>
      </c>
      <c r="C46" t="inlineStr">
        <is>
          <t>Core Set Year</t>
        </is>
      </c>
      <c r="D46" t="inlineStr">
        <is>
          <t>2021-2024</t>
        </is>
      </c>
      <c r="E46" t="inlineStr">
        <is>
          <t>Child Core Set</t>
        </is>
      </c>
    </row>
    <row r="47">
      <c r="A47" s="2">
        <f>HYPERLINK("#'41. MSC-AD'!A1", "41. MSC-AD")</f>
        <v/>
      </c>
      <c r="B47" t="inlineStr">
        <is>
          <t>Medical Assistance With Smoking and Tobacco Use Cessation: Age 18 and Older (MSC-AD)</t>
        </is>
      </c>
      <c r="C47" t="inlineStr">
        <is>
          <t>Core Set Year</t>
        </is>
      </c>
      <c r="D47" t="inlineStr">
        <is>
          <t>2021-2024</t>
        </is>
      </c>
      <c r="E47" t="inlineStr">
        <is>
          <t>Adult Core Set</t>
        </is>
      </c>
    </row>
    <row r="48">
      <c r="A48" s="2">
        <f>HYPERLINK("#'42. APM-CH'!A1", "42. APM-CH")</f>
        <v/>
      </c>
      <c r="B48" t="inlineStr">
        <is>
          <t>Metabolic Monitoring for Children and Adolescents on Antipsychotics: Ages 1 to 17 (APM-CH)</t>
        </is>
      </c>
      <c r="C48" t="inlineStr">
        <is>
          <t>Core Set Year</t>
        </is>
      </c>
      <c r="D48" t="inlineStr">
        <is>
          <t>2021-2024</t>
        </is>
      </c>
      <c r="E48" t="inlineStr">
        <is>
          <t>Child Core Set</t>
        </is>
      </c>
    </row>
    <row r="49">
      <c r="A49" s="2">
        <f>HYPERLINK("#'43. NCIIDD-AD'!A1", "43. NCIIDD-AD")</f>
        <v/>
      </c>
      <c r="B49" t="inlineStr">
        <is>
          <t>National Core Indicators Survey: Age 18 and Older (NCIIDD-AD)</t>
        </is>
      </c>
      <c r="C49" t="inlineStr">
        <is>
          <t>Core Set Year</t>
        </is>
      </c>
      <c r="D49" t="inlineStr">
        <is>
          <t>2022-2024</t>
        </is>
      </c>
      <c r="E49" t="inlineStr">
        <is>
          <t>Adult Core Set</t>
        </is>
      </c>
    </row>
    <row r="50">
      <c r="A50" s="2">
        <f>HYPERLINK("#'44. OEV-CH'!A1", "44. OEV-CH")</f>
        <v/>
      </c>
      <c r="B50" t="inlineStr">
        <is>
          <t>Oral Evaluation, Dental Services: Ages &lt;1 through 20 (OEV-CH)</t>
        </is>
      </c>
      <c r="C50" t="inlineStr">
        <is>
          <t>Core Set Year</t>
        </is>
      </c>
      <c r="D50" t="inlineStr">
        <is>
          <t>2022-2024</t>
        </is>
      </c>
      <c r="E50" t="inlineStr">
        <is>
          <t>Child Core Set</t>
        </is>
      </c>
    </row>
    <row r="51">
      <c r="A51" s="2">
        <f>HYPERLINK("#'45. PDENT-CH'!A1", "45. PDENT-CH")</f>
        <v/>
      </c>
      <c r="B51" t="inlineStr">
        <is>
          <t>Percentage of Eligibles Who Received Preventive Dental Services: Ages 1 to 20 (PDENT-CH)</t>
        </is>
      </c>
      <c r="C51" t="inlineStr">
        <is>
          <t>Core Set Year</t>
        </is>
      </c>
      <c r="D51" t="inlineStr">
        <is>
          <t>2021</t>
        </is>
      </c>
      <c r="E51" t="inlineStr">
        <is>
          <t>Child Core Set</t>
        </is>
      </c>
    </row>
    <row r="52">
      <c r="A52" s="2">
        <f>HYPERLINK("#'46. PCR-AD'!A1", "46. PCR-AD")</f>
        <v/>
      </c>
      <c r="B52" t="inlineStr">
        <is>
          <t>Plan All-Cause Readmissions: Ages 18 to 64 (PCR-AD)</t>
        </is>
      </c>
      <c r="C52" t="inlineStr">
        <is>
          <t>Core Set Year</t>
        </is>
      </c>
      <c r="D52" t="inlineStr">
        <is>
          <t>2021-2024</t>
        </is>
      </c>
      <c r="E52" t="inlineStr">
        <is>
          <t>Adult Core Set</t>
        </is>
      </c>
    </row>
    <row r="53">
      <c r="A53" s="2">
        <f>HYPERLINK("#'47. PQI01-AD'!A1", "47. PQI01-AD")</f>
        <v/>
      </c>
      <c r="B53" t="inlineStr">
        <is>
          <t>PQI 01: Diabetes Short-Term Complications Admission Rate: Age 18 and Older (PQI01-AD)</t>
        </is>
      </c>
      <c r="C53" t="inlineStr">
        <is>
          <t>Core Set Year</t>
        </is>
      </c>
      <c r="D53" t="inlineStr">
        <is>
          <t>2021-2024</t>
        </is>
      </c>
      <c r="E53" t="inlineStr">
        <is>
          <t>Adult Core Set</t>
        </is>
      </c>
    </row>
    <row r="54">
      <c r="A54" s="2">
        <f>HYPERLINK("#'48. PQI05-AD'!A1", "48. PQI05-AD")</f>
        <v/>
      </c>
      <c r="B54" t="inlineStr">
        <is>
          <t>PQI 05: Chronic Obstructive Pulmonary Disease (COPD) or Asthma in Older Adults Admission Rate: Age 40 and Older (PQI05-AD)</t>
        </is>
      </c>
      <c r="C54" t="inlineStr">
        <is>
          <t>Core Set Year</t>
        </is>
      </c>
      <c r="D54" t="inlineStr">
        <is>
          <t>2021-2024</t>
        </is>
      </c>
      <c r="E54" t="inlineStr">
        <is>
          <t>Adult Core Set</t>
        </is>
      </c>
    </row>
    <row r="55">
      <c r="A55" s="2">
        <f>HYPERLINK("#'49. PQI08-AD'!A1", "49. PQI08-AD")</f>
        <v/>
      </c>
      <c r="B55" t="inlineStr">
        <is>
          <t>PQI 08: Heart Failure Admission Rate: Age 18 and Older (PQI08-AD)</t>
        </is>
      </c>
      <c r="C55" t="inlineStr">
        <is>
          <t>Core Set Year</t>
        </is>
      </c>
      <c r="D55" t="inlineStr">
        <is>
          <t>2021-2024</t>
        </is>
      </c>
      <c r="E55" t="inlineStr">
        <is>
          <t>Adult Core Set</t>
        </is>
      </c>
    </row>
    <row r="56">
      <c r="A56" s="2">
        <f>HYPERLINK("#'50. PQI15-AD'!A1", "50. PQI15-AD")</f>
        <v/>
      </c>
      <c r="B56" t="inlineStr">
        <is>
          <t>PQI 15: Asthma in Younger Adults Admission Rate: Ages 18 to 39 (PQI15-AD)</t>
        </is>
      </c>
      <c r="C56" t="inlineStr">
        <is>
          <t>Core Set Year</t>
        </is>
      </c>
      <c r="D56" t="inlineStr">
        <is>
          <t>2021-2024</t>
        </is>
      </c>
      <c r="E56" t="inlineStr">
        <is>
          <t>Adult Core Set</t>
        </is>
      </c>
    </row>
    <row r="57">
      <c r="A57" s="2">
        <f>HYPERLINK("#'51. PPC-CH'!A1", "51. PPC-CH")</f>
        <v/>
      </c>
      <c r="B57" t="inlineStr">
        <is>
          <t>Prenatal and Postpartum Care: Timeliness of Prenatal Care (PPC-CH)</t>
        </is>
      </c>
      <c r="C57" t="inlineStr">
        <is>
          <t>Core Set Year</t>
        </is>
      </c>
      <c r="D57" t="inlineStr">
        <is>
          <t>2021-2023</t>
        </is>
      </c>
      <c r="E57" t="inlineStr">
        <is>
          <t>Child Core Set</t>
        </is>
      </c>
    </row>
    <row r="58">
      <c r="A58" s="2">
        <f>HYPERLINK("#'52. PPC-AD'!A1", "52. PPC-AD")</f>
        <v/>
      </c>
      <c r="B58" t="inlineStr">
        <is>
          <t>Prenatal and Postpartum Care: Postpartum Care (PPC-AD)</t>
        </is>
      </c>
      <c r="C58" t="inlineStr">
        <is>
          <t>Core Set Year</t>
        </is>
      </c>
      <c r="D58" t="inlineStr">
        <is>
          <t>2021-2023</t>
        </is>
      </c>
      <c r="E58" t="inlineStr">
        <is>
          <t>Adult Core Set</t>
        </is>
      </c>
    </row>
    <row r="59">
      <c r="A59" s="2">
        <f>HYPERLINK("#'53. PPC2-CH'!A1", "53. PPC2-CH")</f>
        <v/>
      </c>
      <c r="B59" t="inlineStr">
        <is>
          <t>Prenatal and Postpartum Care: Under Age 21 (PPC2-CH)</t>
        </is>
      </c>
      <c r="C59" t="inlineStr">
        <is>
          <t>Core Set Year</t>
        </is>
      </c>
      <c r="D59" t="inlineStr">
        <is>
          <t>2024</t>
        </is>
      </c>
      <c r="E59" t="inlineStr">
        <is>
          <t>Child Core Set</t>
        </is>
      </c>
    </row>
    <row r="60">
      <c r="A60" s="2">
        <f>HYPERLINK("#'54. PPC2-AD'!A1", "54. PPC2-AD")</f>
        <v/>
      </c>
      <c r="B60" t="inlineStr">
        <is>
          <t>Prenatal and Postpartum Care: Age 21 and Older (PPC2-AD)</t>
        </is>
      </c>
      <c r="C60" t="inlineStr">
        <is>
          <t>Core Set Year</t>
        </is>
      </c>
      <c r="D60" t="inlineStr">
        <is>
          <t>2024</t>
        </is>
      </c>
      <c r="E60" t="inlineStr">
        <is>
          <t>Adult Core Set</t>
        </is>
      </c>
    </row>
    <row r="61">
      <c r="A61" s="2">
        <f>HYPERLINK("#'55. CDF-CH'!A1", "55. CDF-CH")</f>
        <v/>
      </c>
      <c r="B61" t="inlineStr">
        <is>
          <t>Screening for Depression and Follow-Up Plan: Ages 12 to 17 (CDF-CH)</t>
        </is>
      </c>
      <c r="C61" t="inlineStr">
        <is>
          <t>Core Set Year</t>
        </is>
      </c>
      <c r="D61" t="inlineStr">
        <is>
          <t>2024</t>
        </is>
      </c>
      <c r="E61" t="inlineStr">
        <is>
          <t>Child Core Set</t>
        </is>
      </c>
    </row>
    <row r="62">
      <c r="A62" s="2">
        <f>HYPERLINK("#'56. CDF-AD'!A1", "56. CDF-AD")</f>
        <v/>
      </c>
      <c r="B62" t="inlineStr">
        <is>
          <t>Screening for Depression and Follow-Up Plan: Age 18 and Older (CDF-AD)</t>
        </is>
      </c>
      <c r="C62" t="inlineStr">
        <is>
          <t>Core Set Year</t>
        </is>
      </c>
      <c r="D62" t="inlineStr">
        <is>
          <t>2024</t>
        </is>
      </c>
      <c r="E62" t="inlineStr">
        <is>
          <t>Adult Core Set</t>
        </is>
      </c>
    </row>
    <row r="63">
      <c r="A63" s="2">
        <f>HYPERLINK("#'57. SFM-CH'!A1", "57. SFM-CH")</f>
        <v/>
      </c>
      <c r="B63" t="inlineStr">
        <is>
          <t>Sealant Receipt on Permanent First Molars: Age 10 (SFM-CH)</t>
        </is>
      </c>
      <c r="C63" t="inlineStr">
        <is>
          <t>Core Set Year</t>
        </is>
      </c>
      <c r="D63" t="inlineStr">
        <is>
          <t>2021-2024</t>
        </is>
      </c>
      <c r="E63" t="inlineStr">
        <is>
          <t>Child Core Set</t>
        </is>
      </c>
    </row>
    <row r="64">
      <c r="A64" s="2">
        <f>HYPERLINK("#'58. TFL-CH'!A1", "58. TFL-CH")</f>
        <v/>
      </c>
      <c r="B64" t="inlineStr">
        <is>
          <t>Topical Fluoride for Children: Ages 1 through 20 (TFL-CH)</t>
        </is>
      </c>
      <c r="C64" t="inlineStr">
        <is>
          <t>Core Set Year</t>
        </is>
      </c>
      <c r="D64" t="inlineStr">
        <is>
          <t>2022-2024</t>
        </is>
      </c>
      <c r="E64" t="inlineStr">
        <is>
          <t>Child Core Set</t>
        </is>
      </c>
    </row>
    <row r="65">
      <c r="A65" s="2">
        <f>HYPERLINK("#'59. APP-CH'!A1", "59. APP-CH")</f>
        <v/>
      </c>
      <c r="B65" t="inlineStr">
        <is>
          <t>Use of First-Line Psychosocial Care for Children and Adolescents on Antipsychotics: Ages 1 to 17 (APP-CH)</t>
        </is>
      </c>
      <c r="C65" t="inlineStr">
        <is>
          <t>Core Set Year</t>
        </is>
      </c>
      <c r="D65" t="inlineStr">
        <is>
          <t>2021-2024</t>
        </is>
      </c>
      <c r="E65" t="inlineStr">
        <is>
          <t>Child Core Set</t>
        </is>
      </c>
    </row>
    <row r="66">
      <c r="A66" s="2">
        <f>HYPERLINK("#'60. OHD-AD'!A1", "60. OHD-AD")</f>
        <v/>
      </c>
      <c r="B66" t="inlineStr">
        <is>
          <t>Use of Opioids at High Dosage in Persons Without Cancer: Age 18 and Older (OHD-AD)</t>
        </is>
      </c>
      <c r="C66" t="inlineStr">
        <is>
          <t>Core Set Year</t>
        </is>
      </c>
      <c r="D66" t="inlineStr">
        <is>
          <t>2021-2024</t>
        </is>
      </c>
      <c r="E66" t="inlineStr">
        <is>
          <t>Adult Core Set</t>
        </is>
      </c>
    </row>
    <row r="67">
      <c r="A67" s="2">
        <f>HYPERLINK("#'61. OUD-AD'!A1", "61. OUD-AD")</f>
        <v/>
      </c>
      <c r="B67" t="inlineStr">
        <is>
          <t>Use of Pharmacotherapy for Opioid Use Disorder: Ages 18 to 64 (OUD-AD)</t>
        </is>
      </c>
      <c r="C67" t="inlineStr">
        <is>
          <t>Core Set Year</t>
        </is>
      </c>
      <c r="D67" t="inlineStr">
        <is>
          <t>2021-2024</t>
        </is>
      </c>
      <c r="E67" t="inlineStr">
        <is>
          <t>Adult Core Set</t>
        </is>
      </c>
    </row>
    <row r="68">
      <c r="A68" s="2">
        <f>HYPERLINK("#'62. WCC-CH'!A1", "62. WCC-CH")</f>
        <v/>
      </c>
      <c r="B68" t="inlineStr">
        <is>
          <t>Weight Assessment and Counseling for Nutrition and Physical Activity for Children/Adolescents: Ages 3 to 17 (WCC-CH)</t>
        </is>
      </c>
      <c r="C68" t="inlineStr">
        <is>
          <t>Core Set Year</t>
        </is>
      </c>
      <c r="D68" t="inlineStr">
        <is>
          <t>2021-2024</t>
        </is>
      </c>
      <c r="E68" t="inlineStr">
        <is>
          <t>Child Core Set</t>
        </is>
      </c>
    </row>
    <row r="69">
      <c r="A69" s="2">
        <f>HYPERLINK("#'63. W30-CH'!A1", "63. W30-CH")</f>
        <v/>
      </c>
      <c r="B69" t="inlineStr">
        <is>
          <t>Well-Child Visits in the First 30 Months of Life (W30-CH)</t>
        </is>
      </c>
      <c r="C69" t="inlineStr">
        <is>
          <t>Core Set Year</t>
        </is>
      </c>
      <c r="D69" t="inlineStr">
        <is>
          <t>2021-2024</t>
        </is>
      </c>
      <c r="E69" t="inlineStr">
        <is>
          <t>Child Core 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5" customWidth="1" min="1" max="1"/>
    <col width="38" customWidth="1" min="2" max="2"/>
    <col width="26" customWidth="1" min="3" max="3"/>
    <col width="60" customWidth="1" min="4" max="4"/>
    <col width="7" customWidth="1" min="5" max="5"/>
    <col width="8" customWidth="1" min="6" max="6"/>
    <col width="9" customWidth="1" min="7" max="7"/>
    <col width="9" customWidth="1" min="8" max="8"/>
    <col width="16" customWidth="1" min="9" max="9"/>
    <col width="16" customWidth="1" min="10" max="10"/>
  </cols>
  <sheetData>
    <row r="1">
      <c r="A1" t="inlineStr">
        <is>
          <t>Measure Name</t>
        </is>
      </c>
      <c r="B1" t="inlineStr">
        <is>
          <t>Child Core Set Reporting</t>
        </is>
      </c>
    </row>
    <row r="2"/>
    <row r="3">
      <c r="A3" s="1" t="inlineStr">
        <is>
          <t>Data Period</t>
        </is>
      </c>
      <c r="B3" s="1" t="inlineStr">
        <is>
          <t>Value Type</t>
        </is>
      </c>
      <c r="C3" s="1" t="inlineStr">
        <is>
          <t>Value Directionality</t>
        </is>
      </c>
      <c r="D3" s="1" t="inlineStr">
        <is>
          <t>Analysis Source</t>
        </is>
      </c>
      <c r="E3" s="1" t="inlineStr">
        <is>
          <t>Value</t>
        </is>
      </c>
      <c r="F3" s="1" t="inlineStr">
        <is>
          <t>Median</t>
        </is>
      </c>
      <c r="G3" s="1" t="inlineStr">
        <is>
          <t>Maximum</t>
        </is>
      </c>
      <c r="H3" s="1" t="inlineStr">
        <is>
          <t>Minimum</t>
        </is>
      </c>
      <c r="I3" s="1" t="inlineStr">
        <is>
          <t>First quartile</t>
        </is>
      </c>
      <c r="J3" s="1" t="inlineStr">
        <is>
          <t>Third quartile</t>
        </is>
      </c>
    </row>
    <row r="4">
      <c r="A4" t="n">
        <v>2021</v>
      </c>
      <c r="B4" t="inlineStr">
        <is>
          <t>Number of Core Set measures reported</t>
        </is>
      </c>
      <c r="C4" t="inlineStr">
        <is>
          <t>Higher values are better</t>
        </is>
      </c>
      <c r="D4" t="inlineStr">
        <is>
          <t>Mathematica analysis of the QMR system reports for the 2021 Core Set as of June 1, 2023; CDC WONDER data as of February 2, 2023; and Form CMS-416 reports for the 2021 Core Set as of November 9, 2022.</t>
        </is>
      </c>
      <c r="E4" t="n">
        <v>21</v>
      </c>
      <c r="F4" t="n">
        <v>20</v>
      </c>
      <c r="G4" t="n">
        <v>23</v>
      </c>
      <c r="H4" t="n">
        <v>3</v>
      </c>
      <c r="I4" t="n">
        <v>17</v>
      </c>
      <c r="J4" t="n">
        <v>21</v>
      </c>
    </row>
    <row r="5">
      <c r="A5" t="n">
        <v>2022</v>
      </c>
      <c r="B5" t="inlineStr">
        <is>
          <t>Number of Core Set measures reported</t>
        </is>
      </c>
      <c r="C5" t="inlineStr">
        <is>
          <t>Higher values are better</t>
        </is>
      </c>
      <c r="D5" t="inlineStr">
        <is>
          <t>Mathematica analysis of the QMR system reports for the 2022 Core Set as of June 1, 2023 and CDC WONDER data as of February 2, 2023.</t>
        </is>
      </c>
      <c r="E5" t="n">
        <v>24</v>
      </c>
      <c r="F5" s="3" t="n">
        <v>21.5</v>
      </c>
      <c r="G5" t="n">
        <v>25</v>
      </c>
      <c r="H5" t="n">
        <v>2</v>
      </c>
      <c r="I5" s="3" t="n">
        <v>18.5</v>
      </c>
      <c r="J5" t="n">
        <v>24</v>
      </c>
    </row>
    <row r="6">
      <c r="A6" t="n">
        <v>2023</v>
      </c>
      <c r="B6" t="inlineStr">
        <is>
          <t>Number of Core Set measures reported</t>
        </is>
      </c>
      <c r="C6" t="inlineStr">
        <is>
          <t>Higher values are better</t>
        </is>
      </c>
      <c r="D6" t="inlineStr">
        <is>
          <t>Mathematica analysis of the QMR system reports for the 2023 Core Set as of May 16, 2024; Mathematica analysis of CDC WONDER data as of October 26, 2023; and AHRQ and CMS analysis of the AHRQ CAHPS Database for the July 2022 to June 2023 data collection period as of January 24, 2024.</t>
        </is>
      </c>
      <c r="E6" t="n">
        <v>26</v>
      </c>
      <c r="F6" s="3" t="n">
        <v>25.5</v>
      </c>
      <c r="G6" t="n">
        <v>27</v>
      </c>
      <c r="H6" t="n">
        <v>3</v>
      </c>
      <c r="I6" t="n">
        <v>23</v>
      </c>
      <c r="J6" t="n">
        <v>27</v>
      </c>
    </row>
    <row r="7">
      <c r="A7" t="n">
        <v>2024</v>
      </c>
      <c r="B7" t="inlineStr">
        <is>
          <t>Number of Core Set measures reported</t>
        </is>
      </c>
      <c r="C7" t="inlineStr">
        <is>
          <t>Higher values are better</t>
        </is>
      </c>
      <c r="D7" t="inlineStr">
        <is>
          <t>Mathematica analysis of the QMR system reports for the 2024 Core Set as of April 28, 2025; Mathematica analysis of CDC WONDER data as of October 30, 2024; and AHRQ and CMS analysis of the AHRQ CAHPS Database for the July 2023 to June 2024 data collection period as of January 28, 2025.</t>
        </is>
      </c>
      <c r="E7" t="n">
        <v>27</v>
      </c>
      <c r="F7" t="n">
        <v>27</v>
      </c>
      <c r="G7" t="n">
        <v>27</v>
      </c>
      <c r="H7" t="n">
        <v>0</v>
      </c>
      <c r="I7" t="n">
        <v>27</v>
      </c>
      <c r="J7" t="n">
        <v>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5" customWidth="1" min="1" max="1"/>
    <col width="13" customWidth="1" min="2" max="2"/>
    <col width="38" customWidth="1" min="3" max="3"/>
    <col width="26" customWidth="1" min="4" max="4"/>
    <col width="60" customWidth="1" min="5" max="5"/>
    <col width="7" customWidth="1" min="6" max="6"/>
    <col width="8" customWidth="1" min="7" max="7"/>
    <col width="9" customWidth="1" min="8" max="8"/>
    <col width="9" customWidth="1" min="9" max="9"/>
    <col width="16" customWidth="1" min="10" max="10"/>
    <col width="16" customWidth="1" min="11" max="11"/>
  </cols>
  <sheetData>
    <row r="1">
      <c r="A1" t="inlineStr">
        <is>
          <t>Measure Name</t>
        </is>
      </c>
      <c r="B1" t="inlineStr">
        <is>
          <t>Adult Core Set Reporting</t>
        </is>
      </c>
    </row>
    <row r="2"/>
    <row r="3">
      <c r="A3" s="1" t="inlineStr">
        <is>
          <t>Measure List</t>
        </is>
      </c>
      <c r="B3" s="1" t="inlineStr">
        <is>
          <t>Data Period</t>
        </is>
      </c>
      <c r="C3" s="1" t="inlineStr">
        <is>
          <t>Value Type</t>
        </is>
      </c>
      <c r="D3" s="1" t="inlineStr">
        <is>
          <t>Value Directionality</t>
        </is>
      </c>
      <c r="E3" s="1" t="inlineStr">
        <is>
          <t>Analysis Source</t>
        </is>
      </c>
      <c r="F3" s="1" t="inlineStr">
        <is>
          <t>Value</t>
        </is>
      </c>
      <c r="G3" s="1" t="inlineStr">
        <is>
          <t>Median</t>
        </is>
      </c>
      <c r="H3" s="1" t="inlineStr">
        <is>
          <t>Maximum</t>
        </is>
      </c>
      <c r="I3" s="1" t="inlineStr">
        <is>
          <t>Minimum</t>
        </is>
      </c>
      <c r="J3" s="1" t="inlineStr">
        <is>
          <t>First quartile</t>
        </is>
      </c>
      <c r="K3" s="1" t="inlineStr">
        <is>
          <t>Third quartile</t>
        </is>
      </c>
    </row>
    <row r="4">
      <c r="A4" t="inlineStr">
        <is>
          <t>All Adult Core Set Measures</t>
        </is>
      </c>
      <c r="B4" t="n">
        <v>2021</v>
      </c>
      <c r="C4" t="inlineStr">
        <is>
          <t>Number of Core Set measures reported</t>
        </is>
      </c>
      <c r="D4" t="inlineStr">
        <is>
          <t>Higher values are better</t>
        </is>
      </c>
      <c r="E4" t="inlineStr">
        <is>
          <t>Mathematica analysis of the QMR system reports for the 2021 Core Set as of June 1, 2023; Mathematica analysis of National Core Indicators – Intellectual and Developmental Disabilities (NCI-IDD) data submitted by states to the NCI National Team for the July 1, 2020 to June 30, 2021 data collection period.</t>
        </is>
      </c>
      <c r="F4" t="n">
        <v>26</v>
      </c>
      <c r="G4" s="3" t="n">
        <v>23.5</v>
      </c>
      <c r="H4" t="n">
        <v>30</v>
      </c>
      <c r="I4" t="n">
        <v>0</v>
      </c>
      <c r="J4" s="3" t="n">
        <v>18.5</v>
      </c>
      <c r="K4" t="n">
        <v>27</v>
      </c>
    </row>
    <row r="5">
      <c r="A5" t="inlineStr">
        <is>
          <t>All Adult Core Set Measures</t>
        </is>
      </c>
      <c r="B5" t="n">
        <v>2022</v>
      </c>
      <c r="C5" t="inlineStr">
        <is>
          <t>Number of Core Set measures reported</t>
        </is>
      </c>
      <c r="D5" t="inlineStr">
        <is>
          <t>Higher values are better</t>
        </is>
      </c>
      <c r="E5" t="inlineStr">
        <is>
          <t>Mathematica analysis of the QMR system reports for the 2022 Core Set as of June 1, 2023; Mathematica analysis of National Core Indicators – Intellectual and Developmental Disabilities (NCI-IDD) data submitted by states to the NCI National Team for the July 1, 2021 to June 30, 2022 data collection period.</t>
        </is>
      </c>
      <c r="F5" t="n">
        <v>29</v>
      </c>
      <c r="G5" t="n">
        <v>26</v>
      </c>
      <c r="H5" t="n">
        <v>33</v>
      </c>
      <c r="I5" t="n">
        <v>0</v>
      </c>
      <c r="J5" s="3" t="n">
        <v>20.5</v>
      </c>
      <c r="K5" t="n">
        <v>29</v>
      </c>
    </row>
    <row r="6">
      <c r="A6" t="inlineStr">
        <is>
          <t>All Adult Core Set Measures</t>
        </is>
      </c>
      <c r="B6" t="n">
        <v>2023</v>
      </c>
      <c r="C6" t="inlineStr">
        <is>
          <t>Number of Core Set measures reported</t>
        </is>
      </c>
      <c r="D6" t="inlineStr">
        <is>
          <t>Higher values are better</t>
        </is>
      </c>
      <c r="E6" t="inlineStr">
        <is>
          <t>Mathematica analysis of the QMR system reports for the 2023 Core Set as of May 16, 2024; Mathematica analysis of National Core Indicators – Intellectual and Developmental Disabilities (NCI-IDD) data submitted by states to the NCI National Team for the July 1, 2022 to June 30, 2023 data collection period as of May 22, 2024; and AHRQ and CMS analysis of the AHRQ CAHPS Database for the July 2022 to June 2023 data collection period as of January 24, 2024.</t>
        </is>
      </c>
      <c r="F6" t="n">
        <v>31</v>
      </c>
      <c r="G6" t="n">
        <v>28</v>
      </c>
      <c r="H6" t="n">
        <v>33</v>
      </c>
      <c r="I6" t="n">
        <v>3</v>
      </c>
      <c r="J6" t="n">
        <v>24</v>
      </c>
      <c r="K6" t="n">
        <v>31</v>
      </c>
    </row>
    <row r="7">
      <c r="A7" t="inlineStr">
        <is>
          <t>All Adult Core Set Measures</t>
        </is>
      </c>
      <c r="B7" t="n">
        <v>2024</v>
      </c>
      <c r="C7" t="inlineStr">
        <is>
          <t>Number of Core Set measures reported</t>
        </is>
      </c>
      <c r="D7" t="inlineStr">
        <is>
          <t>Higher values are better</t>
        </is>
      </c>
      <c r="E7" t="inlineStr">
        <is>
          <t>Mathematica analysis of the QMR system reports for the 2024 Core Set as of April 28, 2025; Mathematica analysis of National Core Indicators – Intellectual and Developmental Disabilities (NCI-IDD) data submitted by states to the NCI National Team for the July 1, 2023 to June 30, 2024 data collection period as of May 8, 2025; and AHRQ and CMS analysis of the AHRQ CAHPS Database for the July 2023 to June 2024 data collection period as of January 28, 2025.</t>
        </is>
      </c>
      <c r="F7" t="n">
        <v>31</v>
      </c>
      <c r="G7" t="n">
        <v>30</v>
      </c>
      <c r="H7" t="n">
        <v>33</v>
      </c>
      <c r="I7" t="n">
        <v>0</v>
      </c>
      <c r="J7" t="n">
        <v>23</v>
      </c>
      <c r="K7" t="n">
        <v>31</v>
      </c>
    </row>
    <row r="8">
      <c r="A8" t="inlineStr">
        <is>
          <t>Mandatory Adult Core Set Measures (Behavioral Health)</t>
        </is>
      </c>
      <c r="B8" t="n">
        <v>2024</v>
      </c>
      <c r="C8" t="inlineStr">
        <is>
          <t>Number of Core Set measures reported</t>
        </is>
      </c>
      <c r="D8" t="inlineStr">
        <is>
          <t>Higher values are better</t>
        </is>
      </c>
      <c r="E8" t="inlineStr">
        <is>
          <t>Mathematica analysis of the QMR system reports for the 2024 Core Set as of April 28, 2025; Mathematica analysis of National Core Indicators – Intellectual and Developmental Disabilities (NCI-IDD) data submitted by states to the NCI National Team for the July 1, 2023 to June 30, 2024 data collection period as of May 8, 2025; and AHRQ and CMS analysis of the AHRQ CAHPS Database for the July 2023 to June 2024 data collection period as of January 28, 2025.</t>
        </is>
      </c>
      <c r="F8" t="n">
        <v>11</v>
      </c>
      <c r="G8" t="n">
        <v>11</v>
      </c>
      <c r="H8" t="n">
        <v>11</v>
      </c>
      <c r="I8" t="n">
        <v>0</v>
      </c>
      <c r="J8" t="n">
        <v>11</v>
      </c>
      <c r="K8" t="n">
        <v>11</v>
      </c>
    </row>
    <row r="9">
      <c r="A9" t="inlineStr">
        <is>
          <t>Voluntary Adult Core Set Measures</t>
        </is>
      </c>
      <c r="B9" t="n">
        <v>2024</v>
      </c>
      <c r="C9" t="inlineStr">
        <is>
          <t>Number of Core Set measures reported</t>
        </is>
      </c>
      <c r="D9" t="inlineStr">
        <is>
          <t>Higher values are better</t>
        </is>
      </c>
      <c r="E9" t="inlineStr">
        <is>
          <t>Mathematica analysis of the QMR system reports for the 2024 Core Set as of April 28, 2025; Mathematica analysis of National Core Indicators – Intellectual and Developmental Disabilities (NCI-IDD) data submitted by states to the NCI National Team for the July 1, 2023 to June 30, 2024 data collection period as of May 8, 2025; and AHRQ and CMS analysis of the AHRQ CAHPS Database for the July 2023 to June 2024 data collection period as of January 28, 2025.</t>
        </is>
      </c>
      <c r="F9" t="n">
        <v>20</v>
      </c>
      <c r="G9" t="n">
        <v>19</v>
      </c>
      <c r="H9" t="n">
        <v>22</v>
      </c>
      <c r="I9" t="n">
        <v>0</v>
      </c>
      <c r="J9" t="n">
        <v>13</v>
      </c>
      <c r="K9"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42"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Adherence to Antipsychotic Medications for Individuals with Schizophrenia: Age 18 and Older (SAA-AD)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with Schizophrenia or Schizoaffective Disorder who were Dispensed and Remained on Antipsychotic Medication for at Least 80 Percent of their Treatment Period: Age 18 and Older</t>
        </is>
      </c>
      <c r="E4" t="inlineStr">
        <is>
          <t>Higher values are better</t>
        </is>
      </c>
      <c r="F4" t="inlineStr">
        <is>
          <t>Mathematica analysis of the Quality Measure Reporting (QMR) system reports for the FFY 2021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4" t="n">
        <v>0.587</v>
      </c>
      <c r="I4" s="4" t="n">
        <v>0.636</v>
      </c>
      <c r="J4" s="4" t="n">
        <v>0.8120000000000001</v>
      </c>
      <c r="K4" s="4" t="n">
        <v>0.383</v>
      </c>
      <c r="L4" s="4" t="n">
        <v>0.587</v>
      </c>
      <c r="M4" s="4" t="n">
        <v>0.681</v>
      </c>
    </row>
    <row r="5">
      <c r="A5" t="n">
        <v>2022</v>
      </c>
      <c r="B5" t="inlineStr">
        <is>
          <t>Medicaid</t>
        </is>
      </c>
      <c r="C5" t="inlineStr">
        <is>
          <t>Administrative</t>
        </is>
      </c>
      <c r="D5" t="inlineStr">
        <is>
          <t>Percentage with Schizophrenia or Schizoaffective Disorder who were Dispensed and Remained on Antipsychotic Medication for at Least 80 Percent of their Treatment Period: Age 18 and Older</t>
        </is>
      </c>
      <c r="E5" t="inlineStr">
        <is>
          <t>Higher values are better</t>
        </is>
      </c>
      <c r="F5" t="inlineStr">
        <is>
          <t>Mathematica analysis of the Quality Measure Reporting (QMR) system reports for the FFY 2022 reporting cycle as of June 1, 2023.</t>
        </is>
      </c>
      <c r="G5"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4" t="n">
        <v>0.5580000000000001</v>
      </c>
      <c r="I5" s="4" t="n">
        <v>0.622</v>
      </c>
      <c r="J5" s="4" t="n">
        <v>0.8090000000000001</v>
      </c>
      <c r="K5" s="4" t="n">
        <v>0.307</v>
      </c>
      <c r="L5" s="4" t="n">
        <v>0.5679999999999999</v>
      </c>
      <c r="M5" s="4" t="n">
        <v>0.671</v>
      </c>
    </row>
    <row r="6">
      <c r="A6" t="n">
        <v>2023</v>
      </c>
      <c r="B6" t="inlineStr">
        <is>
          <t>Medicaid</t>
        </is>
      </c>
      <c r="C6" t="inlineStr">
        <is>
          <t>Administrative</t>
        </is>
      </c>
      <c r="D6" t="inlineStr">
        <is>
          <t>Percentage with Schizophrenia or Schizoaffective Disorder who were Dispensed and Remained on Antipsychotic Medication for at Least 80 Percent of their Treatment Period: Age 18 and Older</t>
        </is>
      </c>
      <c r="E6" t="inlineStr">
        <is>
          <t>Higher values are better</t>
        </is>
      </c>
      <c r="F6" t="inlineStr">
        <is>
          <t>Mathematica analysis of the Quality Measure Reporting (QMR) system reports for the 2023 Core Set as of May 16, 2024.</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4" t="n">
        <v>0.5590000000000001</v>
      </c>
      <c r="I6" s="4" t="n">
        <v>0.623</v>
      </c>
      <c r="J6" s="4" t="n">
        <v>0.799</v>
      </c>
      <c r="K6" s="4" t="n">
        <v>0.359</v>
      </c>
      <c r="L6" s="4" t="n">
        <v>0.571</v>
      </c>
      <c r="M6" s="4" t="n">
        <v>0.665</v>
      </c>
    </row>
    <row r="7">
      <c r="A7" t="n">
        <v>2024</v>
      </c>
      <c r="B7" t="inlineStr">
        <is>
          <t>Medicaid (Title XIX), Title XXI-funded Medicaid Expansion CHIP, Separate CHIP (Title XXI)</t>
        </is>
      </c>
      <c r="C7" t="inlineStr">
        <is>
          <t>Administrative</t>
        </is>
      </c>
      <c r="D7" t="inlineStr">
        <is>
          <t>Percentage with Schizophrenia or Schizoaffective Disorder who were Dispensed and Remained on Antipsychotic Medication for at Least 80 Percent of their Treatment Period: Age 18 and Older</t>
        </is>
      </c>
      <c r="E7" t="inlineStr">
        <is>
          <t>Higher values are better</t>
        </is>
      </c>
      <c r="F7" t="inlineStr">
        <is>
          <t>Mathematica analysis of the Quality Measure Reporting (QMR) system reports for the 2024 Core Set as of April 28, 2025.</t>
        </is>
      </c>
      <c r="G7" t="inlineStr">
        <is>
          <t>State-specific comments: Rate combines the Medicaid and separate CHIP data reported by the state in the QMR system. See Medicaid and separate CHIP state-specific comments for information about the data reported for each population.</t>
        </is>
      </c>
      <c r="H7" s="4" t="n">
        <v>0.581</v>
      </c>
      <c r="I7" s="4" t="n">
        <v>0.612</v>
      </c>
      <c r="J7" s="4" t="n">
        <v>0.8110000000000001</v>
      </c>
      <c r="K7" s="4" t="n">
        <v>0.128</v>
      </c>
      <c r="L7" s="4" t="n">
        <v>0.574</v>
      </c>
      <c r="M7" s="4" t="n">
        <v>0.663</v>
      </c>
    </row>
    <row r="8">
      <c r="A8" t="n">
        <v>2024</v>
      </c>
      <c r="B8" t="inlineStr">
        <is>
          <t>Medicaid (Title XIX), Title XXI-funded Medicaid Expansion CHIP</t>
        </is>
      </c>
      <c r="C8" t="inlineStr">
        <is>
          <t>Administrative</t>
        </is>
      </c>
      <c r="D8" t="inlineStr">
        <is>
          <t>Percentage with Schizophrenia or Schizoaffective Disorder who were Dispensed and Remained on Antipsychotic Medication for at Least 80 Percent of their Treatment Period: Age 18 and Older</t>
        </is>
      </c>
      <c r="E8" t="inlineStr">
        <is>
          <t>Higher values are better</t>
        </is>
      </c>
      <c r="F8" t="inlineStr">
        <is>
          <t>Mathematica analysis of the Quality Measure Reporting (QMR) system reports for the 2024 Core Set as of April 28, 2025.</t>
        </is>
      </c>
      <c r="G8"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8" s="4" t="n">
        <v>0.581</v>
      </c>
      <c r="I8" s="4" t="n">
        <v>0.612</v>
      </c>
      <c r="J8" s="4" t="n">
        <v>0.8110000000000001</v>
      </c>
      <c r="K8" s="4" t="n">
        <v>0.128</v>
      </c>
      <c r="L8" s="4" t="n">
        <v>0.574</v>
      </c>
      <c r="M8" s="4" t="n">
        <v>0.663</v>
      </c>
    </row>
    <row r="9">
      <c r="A9" t="n">
        <v>2024</v>
      </c>
      <c r="B9" t="inlineStr">
        <is>
          <t>Separate CHIP (Title XXI)</t>
        </is>
      </c>
      <c r="C9" t="inlineStr">
        <is>
          <t>Administrative</t>
        </is>
      </c>
      <c r="D9" t="inlineStr">
        <is>
          <t>Percentage with Schizophrenia or Schizoaffective Disorder who were Dispensed and Remained on Antipsychotic Medication for at Least 80 Percent of their Treatment Period: Age 18 and Older</t>
        </is>
      </c>
      <c r="E9" t="inlineStr">
        <is>
          <t>Higher values are better</t>
        </is>
      </c>
      <c r="F9" t="inlineStr">
        <is>
          <t>Mathematica analysis of the Quality Measure Reporting (QMR) system reports for the 2024 Core Set as of April 28, 2025.</t>
        </is>
      </c>
      <c r="G9" t="inlineStr">
        <is>
          <t>State-specific comments: Separate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9" t="inlineStr">
        <is>
          <t>Rate not available (denominator is zero)</t>
        </is>
      </c>
      <c r="I9" s="4" t="n">
        <v>0.612</v>
      </c>
      <c r="J9" s="4" t="n">
        <v>0.8110000000000001</v>
      </c>
      <c r="K9" s="4" t="n">
        <v>0.128</v>
      </c>
      <c r="L9" s="4" t="n">
        <v>0.574</v>
      </c>
      <c r="M9" s="4" t="n">
        <v>0.663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Ambulatory Care: Emergency Department (ED) Visits: Ages 0 to 19 (AMB-CH)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only</t>
        </is>
      </c>
      <c r="C4" t="inlineStr">
        <is>
          <t>Administrative</t>
        </is>
      </c>
      <c r="D4" t="inlineStr">
        <is>
          <t>Emergency Department Visits per 1,000 Beneficiary Months: Ages 0 to 19</t>
        </is>
      </c>
      <c r="E4" t="inlineStr">
        <is>
          <t>Lower values are better</t>
        </is>
      </c>
      <c r="F4" t="inlineStr">
        <is>
          <t>Mathematica analysis of the Quality Measure Reporting (QMR) system reports for the FFY 2021 reporting cycle as of June 1, 2023.</t>
        </is>
      </c>
      <c r="G4"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3" t="n">
        <v>28</v>
      </c>
      <c r="I4" s="3" t="n">
        <v>26</v>
      </c>
      <c r="J4" s="3" t="n">
        <v>90.5</v>
      </c>
      <c r="K4" s="3" t="n">
        <v>16.1</v>
      </c>
      <c r="L4" s="3" t="n">
        <v>23.4</v>
      </c>
      <c r="M4" s="3" t="n">
        <v>29.2</v>
      </c>
    </row>
    <row r="5">
      <c r="A5" t="n">
        <v>2021</v>
      </c>
      <c r="B5" t="inlineStr">
        <is>
          <t>CHIP only</t>
        </is>
      </c>
      <c r="C5" t="inlineStr">
        <is>
          <t>Administrative</t>
        </is>
      </c>
      <c r="D5" t="inlineStr">
        <is>
          <t>Emergency Department Visits per 1,000 Beneficiary Months: Ages 0 to 19</t>
        </is>
      </c>
      <c r="E5" t="inlineStr">
        <is>
          <t>Lower values are better</t>
        </is>
      </c>
      <c r="F5" t="inlineStr">
        <is>
          <t>Mathematica analysis of the Quality Measure Reporting (QMR) system reports for the FFY 2021 reporting cycle as of June 1, 2023.</t>
        </is>
      </c>
      <c r="G5"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3" t="n">
        <v>14.8</v>
      </c>
      <c r="I5" s="3" t="n">
        <v>26</v>
      </c>
      <c r="J5" s="3" t="n">
        <v>90.5</v>
      </c>
      <c r="K5" s="3" t="n">
        <v>16.1</v>
      </c>
      <c r="L5" s="3" t="n">
        <v>23.4</v>
      </c>
      <c r="M5" s="3" t="n">
        <v>29.2</v>
      </c>
    </row>
    <row r="6">
      <c r="A6" t="n">
        <v>2022</v>
      </c>
      <c r="B6" t="inlineStr">
        <is>
          <t>Medicaid only</t>
        </is>
      </c>
      <c r="C6" t="inlineStr">
        <is>
          <t>Administrative</t>
        </is>
      </c>
      <c r="D6" t="inlineStr">
        <is>
          <t>Emergency Department Visits per 1,000 Beneficiary Months: Ages 0 to 19</t>
        </is>
      </c>
      <c r="E6" t="inlineStr">
        <is>
          <t>Lower values are better</t>
        </is>
      </c>
      <c r="F6" t="inlineStr">
        <is>
          <t>Mathematica analysis of the Quality Measure Reporting (QMR) system reports for the FFY 2022 reporting cycle as of June 1, 2023.</t>
        </is>
      </c>
      <c r="G6"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3" t="n">
        <v>35.6</v>
      </c>
      <c r="I6" s="3" t="n">
        <v>31.9</v>
      </c>
      <c r="J6" s="3" t="n">
        <v>83.7</v>
      </c>
      <c r="K6" s="3" t="n">
        <v>19.7</v>
      </c>
      <c r="L6" s="3" t="n">
        <v>26</v>
      </c>
      <c r="M6" s="3" t="n">
        <v>36.2</v>
      </c>
    </row>
    <row r="7">
      <c r="A7" t="n">
        <v>2022</v>
      </c>
      <c r="B7" t="inlineStr">
        <is>
          <t>CHIP only</t>
        </is>
      </c>
      <c r="C7" t="inlineStr">
        <is>
          <t>Administrative</t>
        </is>
      </c>
      <c r="D7" t="inlineStr">
        <is>
          <t>Emergency Department Visits per 1,000 Beneficiary Months: Ages 0 to 19</t>
        </is>
      </c>
      <c r="E7" t="inlineStr">
        <is>
          <t>Lower values are better</t>
        </is>
      </c>
      <c r="F7" t="inlineStr">
        <is>
          <t>Mathematica analysis of the Quality Measure Reporting (QMR) system reports for the FFY 2022 reporting cycle as of June 1, 2023.</t>
        </is>
      </c>
      <c r="G7"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s="3" t="n">
        <v>15.2</v>
      </c>
      <c r="I7" s="3" t="n">
        <v>31.9</v>
      </c>
      <c r="J7" s="3" t="n">
        <v>83.7</v>
      </c>
      <c r="K7" s="3" t="n">
        <v>19.7</v>
      </c>
      <c r="L7" s="3" t="n">
        <v>26</v>
      </c>
      <c r="M7" s="3" t="n">
        <v>36.2</v>
      </c>
    </row>
    <row r="8">
      <c r="A8" t="n">
        <v>2023</v>
      </c>
      <c r="B8" t="inlineStr">
        <is>
          <t>Medicaid only</t>
        </is>
      </c>
      <c r="C8" t="inlineStr">
        <is>
          <t>Administrative</t>
        </is>
      </c>
      <c r="D8" t="inlineStr">
        <is>
          <t>Emergency Department Visits per 1,000 Beneficiary Months: Ages 0 to 19</t>
        </is>
      </c>
      <c r="E8" t="inlineStr">
        <is>
          <t>Lower values are better</t>
        </is>
      </c>
      <c r="F8" t="inlineStr">
        <is>
          <t>Mathematica analysis of the Quality Measure Reporting (QMR) system reports for the 2023 Core Set as of May 16, 2024.</t>
        </is>
      </c>
      <c r="G8"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8" s="3" t="n">
        <v>41.1</v>
      </c>
      <c r="I8" s="3" t="n">
        <v>36.5</v>
      </c>
      <c r="J8" s="3" t="n">
        <v>106.1</v>
      </c>
      <c r="K8" s="3" t="n">
        <v>22.2</v>
      </c>
      <c r="L8" s="3" t="n">
        <v>33.8</v>
      </c>
      <c r="M8" s="3" t="n">
        <v>40.9</v>
      </c>
    </row>
    <row r="9">
      <c r="A9" t="n">
        <v>2023</v>
      </c>
      <c r="B9" t="inlineStr">
        <is>
          <t>CHIP only</t>
        </is>
      </c>
      <c r="C9" t="inlineStr">
        <is>
          <t>Administrative</t>
        </is>
      </c>
      <c r="D9" t="inlineStr">
        <is>
          <t>Emergency Department Visits per 1,000 Beneficiary Months: Ages 0 to 19</t>
        </is>
      </c>
      <c r="E9" t="inlineStr">
        <is>
          <t>Lower values are better</t>
        </is>
      </c>
      <c r="F9" t="inlineStr">
        <is>
          <t>Mathematica analysis of the Quality Measure Reporting (QMR) system reports for the 2023 Core Set as of May 16, 2024.</t>
        </is>
      </c>
      <c r="G9"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9" s="3" t="n">
        <v>18.7</v>
      </c>
      <c r="I9" s="3" t="n">
        <v>36.5</v>
      </c>
      <c r="J9" s="3" t="n">
        <v>106.1</v>
      </c>
      <c r="K9" s="3" t="n">
        <v>22.2</v>
      </c>
      <c r="L9" s="3" t="n">
        <v>33.8</v>
      </c>
      <c r="M9" s="3" t="n">
        <v>40.9</v>
      </c>
    </row>
    <row r="10">
      <c r="A10" t="n">
        <v>2024</v>
      </c>
      <c r="B10" t="inlineStr">
        <is>
          <t>Medicaid (Title XIX), Title XXI-funded Medicaid Expansion CHIP, Separate CHIP (Title XXI)</t>
        </is>
      </c>
      <c r="C10" t="inlineStr">
        <is>
          <t>Administrative</t>
        </is>
      </c>
      <c r="D10" t="inlineStr">
        <is>
          <t>Emergency Department Visits per 1,000 Beneficiary Months: Ages 0 to 19</t>
        </is>
      </c>
      <c r="E10" t="inlineStr">
        <is>
          <t>Lower values are better</t>
        </is>
      </c>
      <c r="F10" t="inlineStr">
        <is>
          <t>Mathematica analysis of the Quality Measure Reporting (QMR) system reports for the 2024 Core Set as of April 28, 2025.</t>
        </is>
      </c>
      <c r="G10" t="inlineStr">
        <is>
          <t>State-specific comments: Rate combines the Medicaid and separate CHIP data reported by the state in the QMR system. See Medicaid and separate CHIP state-specific comments for information about the data reported for each population.</t>
        </is>
      </c>
      <c r="H10" s="3" t="n">
        <v>39.9</v>
      </c>
      <c r="I10" s="3" t="n">
        <v>34.7</v>
      </c>
      <c r="J10" s="3" t="n">
        <v>168.3</v>
      </c>
      <c r="K10" s="3" t="n">
        <v>23.2</v>
      </c>
      <c r="L10" s="3" t="n">
        <v>31.9</v>
      </c>
      <c r="M10" s="3" t="n">
        <v>39.5</v>
      </c>
    </row>
    <row r="11">
      <c r="A11" t="n">
        <v>2024</v>
      </c>
      <c r="B11" t="inlineStr">
        <is>
          <t>Medicaid (Title XIX), Title XXI-funded Medicaid Expansion CHIP</t>
        </is>
      </c>
      <c r="C11" t="inlineStr">
        <is>
          <t>Administrative</t>
        </is>
      </c>
      <c r="D11" t="inlineStr">
        <is>
          <t>Emergency Department Visits per 1,000 Beneficiary Months: Ages 0 to 19</t>
        </is>
      </c>
      <c r="E11" t="inlineStr">
        <is>
          <t>Lower values are better</t>
        </is>
      </c>
      <c r="F11" t="inlineStr">
        <is>
          <t>Mathematica analysis of the Quality Measure Reporting (QMR) system reports for the 2024 Core Set as of April 28, 2025.</t>
        </is>
      </c>
      <c r="G11"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11" s="3" t="n">
        <v>40.2</v>
      </c>
      <c r="I11" s="3" t="n">
        <v>34.7</v>
      </c>
      <c r="J11" s="3" t="n">
        <v>168.3</v>
      </c>
      <c r="K11" s="3" t="n">
        <v>23.2</v>
      </c>
      <c r="L11" s="3" t="n">
        <v>31.9</v>
      </c>
      <c r="M11" s="3" t="n">
        <v>39.5</v>
      </c>
    </row>
    <row r="12">
      <c r="A12" t="n">
        <v>2024</v>
      </c>
      <c r="B12" t="inlineStr">
        <is>
          <t>Separate CHIP (Title XXI)</t>
        </is>
      </c>
      <c r="C12" t="inlineStr">
        <is>
          <t>Administrative</t>
        </is>
      </c>
      <c r="D12" t="inlineStr">
        <is>
          <t>Emergency Department Visits per 1,000 Beneficiary Months: Ages 0 to 19</t>
        </is>
      </c>
      <c r="E12" t="inlineStr">
        <is>
          <t>Lower values are better</t>
        </is>
      </c>
      <c r="F12" t="inlineStr">
        <is>
          <t>Mathematica analysis of the Quality Measure Reporting (QMR) system reports for the 2024 Core Set as of April 28, 2025.</t>
        </is>
      </c>
      <c r="G12" t="inlineStr">
        <is>
          <t>State-specific comments: Separate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12" s="3" t="n">
        <v>21.9</v>
      </c>
      <c r="I12" s="3" t="n">
        <v>34.7</v>
      </c>
      <c r="J12" s="3" t="n">
        <v>168.3</v>
      </c>
      <c r="K12" s="3" t="n">
        <v>23.2</v>
      </c>
      <c r="L12" s="3" t="n">
        <v>31.9</v>
      </c>
      <c r="M12" s="3" t="n">
        <v>39.5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30" customWidth="1" min="1" max="1"/>
    <col width="13" customWidth="1" min="2" max="2"/>
    <col width="60" customWidth="1" min="3" max="3"/>
    <col width="16" customWidth="1" min="4" max="4"/>
    <col width="60" customWidth="1" min="5" max="5"/>
    <col width="26" customWidth="1" min="6" max="6"/>
    <col width="60" customWidth="1" min="7" max="7"/>
    <col width="60" customWidth="1" min="8" max="8"/>
    <col width="1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Antidepressant Medication Management: Age 18 and Older (AMM-AD)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Acute Phase Treatment</t>
        </is>
      </c>
      <c r="B4" t="n">
        <v>2021</v>
      </c>
      <c r="C4" t="inlineStr">
        <is>
          <t>Medicaid</t>
        </is>
      </c>
      <c r="D4" t="inlineStr">
        <is>
          <t>Administrative</t>
        </is>
      </c>
      <c r="E4" t="inlineStr">
        <is>
          <t>Percentage with a Diagnosis of Major Depression who were Treated with and Remained on an Antidepressant Medication for 12 Weeks: Ages 18 to 64</t>
        </is>
      </c>
      <c r="F4" t="inlineStr">
        <is>
          <t>Higher values are better</t>
        </is>
      </c>
      <c r="G4" t="inlineStr">
        <is>
          <t>Mathematica analysis of the Quality Measure Reporting (QMR) system reports for the FFY 2021 reporting cycle as of June 1, 2023.</t>
        </is>
      </c>
      <c r="H4"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0.542</v>
      </c>
      <c r="J4" s="4" t="n">
        <v>0.554</v>
      </c>
      <c r="K4" s="4" t="n">
        <v>0.761</v>
      </c>
      <c r="L4" s="4" t="n">
        <v>0.193</v>
      </c>
      <c r="M4" s="4" t="n">
        <v>0.523</v>
      </c>
      <c r="N4" s="4" t="n">
        <v>0.605</v>
      </c>
    </row>
    <row r="5">
      <c r="A5" t="inlineStr">
        <is>
          <t>Acute Phase Treatment</t>
        </is>
      </c>
      <c r="B5" t="n">
        <v>2022</v>
      </c>
      <c r="C5" t="inlineStr">
        <is>
          <t>Medicaid</t>
        </is>
      </c>
      <c r="D5" t="inlineStr">
        <is>
          <t>Administrative</t>
        </is>
      </c>
      <c r="E5" t="inlineStr">
        <is>
          <t>Percentage with a Diagnosis of Major Depression who were Treated with and Remained on an Antidepressant Medication for 12 Weeks: Ages 18 to 64</t>
        </is>
      </c>
      <c r="F5" t="inlineStr">
        <is>
          <t>Higher values are better</t>
        </is>
      </c>
      <c r="G5" t="inlineStr">
        <is>
          <t>Mathematica analysis of the Quality Measure Reporting (QMR) system reports for the FFY 2022 reporting cycle as of June 1, 2023.</t>
        </is>
      </c>
      <c r="H5"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0.545</v>
      </c>
      <c r="J5" s="4" t="n">
        <v>0.588</v>
      </c>
      <c r="K5" s="4" t="n">
        <v>0.855</v>
      </c>
      <c r="L5" s="4" t="n">
        <v>0.46</v>
      </c>
      <c r="M5" s="4" t="n">
        <v>0.546</v>
      </c>
      <c r="N5" s="4" t="n">
        <v>0.64</v>
      </c>
    </row>
    <row r="6">
      <c r="A6" t="inlineStr">
        <is>
          <t>Acute Phase Treatment</t>
        </is>
      </c>
      <c r="B6" t="n">
        <v>2023</v>
      </c>
      <c r="C6" t="inlineStr">
        <is>
          <t>Medicaid</t>
        </is>
      </c>
      <c r="D6" t="inlineStr">
        <is>
          <t>Administrative</t>
        </is>
      </c>
      <c r="E6" t="inlineStr">
        <is>
          <t>Percentage with a Diagnosis of Major Depression who were Treated with and Remained on an Antidepressant Medication for 12 Weeks: Ages 18 to 64</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0.51</v>
      </c>
      <c r="J6" s="4" t="n">
        <v>0.587</v>
      </c>
      <c r="K6" s="4" t="n">
        <v>0.79</v>
      </c>
      <c r="L6" s="4" t="n">
        <v>0.418</v>
      </c>
      <c r="M6" s="4" t="n">
        <v>0.538</v>
      </c>
      <c r="N6" s="4" t="n">
        <v>0.64</v>
      </c>
    </row>
    <row r="7">
      <c r="A7" t="inlineStr">
        <is>
          <t>Acute Phase Treatment</t>
        </is>
      </c>
      <c r="B7" t="n">
        <v>2024</v>
      </c>
      <c r="C7" t="inlineStr">
        <is>
          <t>Medicaid (Title XIX), Title XXI-funded Medicaid Expansion CHIP, Separate CHIP (Title XXI)</t>
        </is>
      </c>
      <c r="D7" t="inlineStr">
        <is>
          <t>Administrative</t>
        </is>
      </c>
      <c r="E7" t="inlineStr">
        <is>
          <t>Percentage with a Diagnosis of Major Depression who were Treated with and Remained on an Antidepressant Medication for 12 Weeks: Ages 18 to 64</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0.518</v>
      </c>
      <c r="J7" s="4" t="n">
        <v>0.611</v>
      </c>
      <c r="K7" s="4" t="n">
        <v>0.788</v>
      </c>
      <c r="L7" s="4" t="n">
        <v>0.456</v>
      </c>
      <c r="M7" s="4" t="n">
        <v>0.555</v>
      </c>
      <c r="N7" s="4" t="n">
        <v>0.667</v>
      </c>
    </row>
    <row r="8">
      <c r="A8" t="inlineStr">
        <is>
          <t>Acute Phase Treatment</t>
        </is>
      </c>
      <c r="B8" t="n">
        <v>2024</v>
      </c>
      <c r="C8" t="inlineStr">
        <is>
          <t>Medicaid (Title XIX), Title XXI-funded Medicaid Expansion CHIP</t>
        </is>
      </c>
      <c r="D8" t="inlineStr">
        <is>
          <t>Administrative</t>
        </is>
      </c>
      <c r="E8" t="inlineStr">
        <is>
          <t>Percentage with a Diagnosis of Major Depression who were Treated with and Remained on an Antidepressant Medication for 12 Weeks: Ages 18 to 64</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0.518</v>
      </c>
      <c r="J8" s="4" t="n">
        <v>0.611</v>
      </c>
      <c r="K8" s="4" t="n">
        <v>0.788</v>
      </c>
      <c r="L8" s="4" t="n">
        <v>0.456</v>
      </c>
      <c r="M8" s="4" t="n">
        <v>0.555</v>
      </c>
      <c r="N8" s="4" t="n">
        <v>0.667</v>
      </c>
    </row>
    <row r="9">
      <c r="A9" t="inlineStr">
        <is>
          <t>Acute Phase Treatment</t>
        </is>
      </c>
      <c r="B9" t="n">
        <v>2024</v>
      </c>
      <c r="C9" t="inlineStr">
        <is>
          <t>Separate CHIP (Title XXI)</t>
        </is>
      </c>
      <c r="D9" t="inlineStr">
        <is>
          <t>Administrative</t>
        </is>
      </c>
      <c r="E9" t="inlineStr">
        <is>
          <t>Percentage with a Diagnosis of Major Depression who were Treated with and Remained on an Antidepressant Medication for 12 Weeks: Ages 18 to 64</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t="inlineStr">
        <is>
          <t>Data suppressed</t>
        </is>
      </c>
      <c r="J9" s="4" t="n">
        <v>0.611</v>
      </c>
      <c r="K9" s="4" t="n">
        <v>0.788</v>
      </c>
      <c r="L9" s="4" t="n">
        <v>0.456</v>
      </c>
      <c r="M9" s="4" t="n">
        <v>0.555</v>
      </c>
      <c r="N9" s="4" t="n">
        <v>0.667</v>
      </c>
    </row>
    <row r="10">
      <c r="A10" t="inlineStr">
        <is>
          <t>Continuation Phase Treatment</t>
        </is>
      </c>
      <c r="B10" t="n">
        <v>2021</v>
      </c>
      <c r="C10" t="inlineStr">
        <is>
          <t>Medicaid</t>
        </is>
      </c>
      <c r="D10" t="inlineStr">
        <is>
          <t>Administrative</t>
        </is>
      </c>
      <c r="E10" t="inlineStr">
        <is>
          <t>Percentage with a Diagnosis of Major Depression who were Treated with and Remained on an Antidepressant Medication for the Continuation Phase (6 Months): Ages 18 to 64</t>
        </is>
      </c>
      <c r="F10" t="inlineStr">
        <is>
          <t>Higher values are better</t>
        </is>
      </c>
      <c r="G10" t="inlineStr">
        <is>
          <t>Mathematica analysis of the Quality Measure Reporting (QMR) system reports for the FFY 2021 reporting cycle as of June 1, 2023.</t>
        </is>
      </c>
      <c r="H10"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0" s="4" t="n">
        <v>0.384</v>
      </c>
      <c r="J10" s="4" t="n">
        <v>0.403</v>
      </c>
      <c r="K10" s="4" t="n">
        <v>0.613</v>
      </c>
      <c r="L10" s="4" t="n">
        <v>0.053</v>
      </c>
      <c r="M10" s="4" t="n">
        <v>0.334</v>
      </c>
      <c r="N10" s="4" t="n">
        <v>0.449</v>
      </c>
    </row>
    <row r="11">
      <c r="A11" t="inlineStr">
        <is>
          <t>Continuation Phase Treatment</t>
        </is>
      </c>
      <c r="B11" t="n">
        <v>2022</v>
      </c>
      <c r="C11" t="inlineStr">
        <is>
          <t>Medicaid</t>
        </is>
      </c>
      <c r="D11" t="inlineStr">
        <is>
          <t>Administrative</t>
        </is>
      </c>
      <c r="E11" t="inlineStr">
        <is>
          <t>Percentage with a Diagnosis of Major Depression who were Treated with and Remained on an Antidepressant Medication for the Continuation Phase (6 Months): Ages 18 to 64</t>
        </is>
      </c>
      <c r="F11" t="inlineStr">
        <is>
          <t>Higher values are better</t>
        </is>
      </c>
      <c r="G11" t="inlineStr">
        <is>
          <t>Mathematica analysis of the Quality Measure Reporting (QMR) system reports for the FFY 2022 reporting cycle as of June 1, 2023.</t>
        </is>
      </c>
      <c r="H11"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0.363</v>
      </c>
      <c r="J11" s="4" t="n">
        <v>0.418</v>
      </c>
      <c r="K11" s="4" t="n">
        <v>0.65</v>
      </c>
      <c r="L11" s="4" t="n">
        <v>0.189</v>
      </c>
      <c r="M11" s="4" t="n">
        <v>0.354</v>
      </c>
      <c r="N11" s="4" t="n">
        <v>0.461</v>
      </c>
    </row>
    <row r="12">
      <c r="A12" t="inlineStr">
        <is>
          <t>Continuation Phase Treatment</t>
        </is>
      </c>
      <c r="B12" t="n">
        <v>2023</v>
      </c>
      <c r="C12" t="inlineStr">
        <is>
          <t>Medicaid</t>
        </is>
      </c>
      <c r="D12" t="inlineStr">
        <is>
          <t>Administrative</t>
        </is>
      </c>
      <c r="E12" t="inlineStr">
        <is>
          <t>Percentage with a Diagnosis of Major Depression who were Treated with and Remained on an Antidepressant Medication for the Continuation Phase (6 Months): Ages 18 to 64</t>
        </is>
      </c>
      <c r="F12" t="inlineStr">
        <is>
          <t>Higher values are better</t>
        </is>
      </c>
      <c r="G12" t="inlineStr">
        <is>
          <t>Mathematica analysis of the Quality Measure Reporting (QMR) system reports for the 2023 Core Set as of May 16, 2024.</t>
        </is>
      </c>
      <c r="H12"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0.32</v>
      </c>
      <c r="J12" s="4" t="n">
        <v>0.406</v>
      </c>
      <c r="K12" s="4" t="n">
        <v>0.648</v>
      </c>
      <c r="L12" s="4" t="n">
        <v>0.187</v>
      </c>
      <c r="M12" s="4" t="n">
        <v>0.347</v>
      </c>
      <c r="N12" s="4" t="n">
        <v>0.449</v>
      </c>
    </row>
    <row r="13">
      <c r="A13" t="inlineStr">
        <is>
          <t>Continuation Phase Treatment</t>
        </is>
      </c>
      <c r="B13" t="n">
        <v>2024</v>
      </c>
      <c r="C13" t="inlineStr">
        <is>
          <t>Medicaid (Title XIX), Title XXI-funded Medicaid Expansion CHIP, Separate CHIP (Title XXI)</t>
        </is>
      </c>
      <c r="D13" t="inlineStr">
        <is>
          <t>Administrative</t>
        </is>
      </c>
      <c r="E13" t="inlineStr">
        <is>
          <t>Percentage with a Diagnosis of Major Depression who were Treated with and Remained on an Antidepressant Medication for the Continuation Phase (6 Months): Ages 18 to 64</t>
        </is>
      </c>
      <c r="F13" t="inlineStr">
        <is>
          <t>Higher values are better</t>
        </is>
      </c>
      <c r="G13" t="inlineStr">
        <is>
          <t>Mathematica analysis of the Quality Measure Reporting (QMR) system reports for the 2024 Core Set as of April 28, 2025.</t>
        </is>
      </c>
      <c r="H13" t="inlineStr">
        <is>
          <t>State-specific comments: Rate combines the Medicaid and separate CHIP data reported by the state in the QMR system. See Medicaid and separate CHIP state-specific comments for information about the data reported for each population.</t>
        </is>
      </c>
      <c r="I13" s="4" t="n">
        <v>0.329</v>
      </c>
      <c r="J13" s="4" t="n">
        <v>0.421</v>
      </c>
      <c r="K13" s="4" t="n">
        <v>0.651</v>
      </c>
      <c r="L13" s="4" t="n">
        <v>0.227</v>
      </c>
      <c r="M13" s="4" t="n">
        <v>0.349</v>
      </c>
      <c r="N13" s="4" t="n">
        <v>0.469</v>
      </c>
    </row>
    <row r="14">
      <c r="A14" t="inlineStr">
        <is>
          <t>Continuation Phase Treatment</t>
        </is>
      </c>
      <c r="B14" t="n">
        <v>2024</v>
      </c>
      <c r="C14" t="inlineStr">
        <is>
          <t>Medicaid (Title XIX), Title XXI-funded Medicaid Expansion CHIP</t>
        </is>
      </c>
      <c r="D14" t="inlineStr">
        <is>
          <t>Administrative</t>
        </is>
      </c>
      <c r="E14" t="inlineStr">
        <is>
          <t>Percentage with a Diagnosis of Major Depression who were Treated with and Remained on an Antidepressant Medication for the Continuation Phase (6 Months): Ages 18 to 64</t>
        </is>
      </c>
      <c r="F14" t="inlineStr">
        <is>
          <t>Higher values are better</t>
        </is>
      </c>
      <c r="G14" t="inlineStr">
        <is>
          <t>Mathematica analysis of the Quality Measure Reporting (QMR) system reports for the 2024 Core Set as of April 28, 2025.</t>
        </is>
      </c>
      <c r="H1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s="4" t="n">
        <v>0.329</v>
      </c>
      <c r="J14" s="4" t="n">
        <v>0.421</v>
      </c>
      <c r="K14" s="4" t="n">
        <v>0.651</v>
      </c>
      <c r="L14" s="4" t="n">
        <v>0.227</v>
      </c>
      <c r="M14" s="4" t="n">
        <v>0.349</v>
      </c>
      <c r="N14" s="4" t="n">
        <v>0.469</v>
      </c>
    </row>
    <row r="15">
      <c r="A15" t="inlineStr">
        <is>
          <t>Continuation Phase Treatment</t>
        </is>
      </c>
      <c r="B15" t="n">
        <v>2024</v>
      </c>
      <c r="C15" t="inlineStr">
        <is>
          <t>Separate CHIP (Title XXI)</t>
        </is>
      </c>
      <c r="D15" t="inlineStr">
        <is>
          <t>Administrative</t>
        </is>
      </c>
      <c r="E15" t="inlineStr">
        <is>
          <t>Percentage with a Diagnosis of Major Depression who were Treated with and Remained on an Antidepressant Medication for the Continuation Phase (6 Months): Ages 18 to 64</t>
        </is>
      </c>
      <c r="F15" t="inlineStr">
        <is>
          <t>Higher values are better</t>
        </is>
      </c>
      <c r="G15" t="inlineStr">
        <is>
          <t>Mathematica analysis of the Quality Measure Reporting (QMR) system reports for the 2024 Core Set as of April 28, 2025.</t>
        </is>
      </c>
      <c r="H15"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t="inlineStr">
        <is>
          <t>Data suppressed</t>
        </is>
      </c>
      <c r="J15" s="4" t="n">
        <v>0.421</v>
      </c>
      <c r="K15" s="4" t="n">
        <v>0.651</v>
      </c>
      <c r="L15" s="4" t="n">
        <v>0.227</v>
      </c>
      <c r="M15" s="4" t="n">
        <v>0.349</v>
      </c>
      <c r="N15" s="4" t="n">
        <v>0.469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22"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Asthma Medication Ratio: Ages 5 to 18 (AMR-CH)</t>
        </is>
      </c>
    </row>
    <row r="2"/>
    <row r="3">
      <c r="A3" s="1" t="inlineStr">
        <is>
          <t>Age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Ages 12 to 18</t>
        </is>
      </c>
      <c r="B4" t="n">
        <v>2021</v>
      </c>
      <c r="C4" t="inlineStr">
        <is>
          <t>Medicaid only</t>
        </is>
      </c>
      <c r="D4" t="inlineStr">
        <is>
          <t>Administrative</t>
        </is>
      </c>
      <c r="E4" t="inlineStr">
        <is>
          <t>Percentage with Persistent Asthma who had a Ratio of Controller Medications to Total Asthma Medications of 0.50 or Greater: Ages 12 to 18</t>
        </is>
      </c>
      <c r="F4" t="inlineStr">
        <is>
          <t>Higher values are better</t>
        </is>
      </c>
      <c r="G4" t="inlineStr">
        <is>
          <t>Mathematica analysis of the Quality Measure Reporting (QMR) system reports for the FFY 2021 reporting cycle as of June 1, 2023.</t>
        </is>
      </c>
      <c r="H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0.677</v>
      </c>
      <c r="J4" s="4" t="n">
        <v>0.704</v>
      </c>
      <c r="K4" s="4" t="n">
        <v>0.896</v>
      </c>
      <c r="L4" s="4" t="n">
        <v>0.471</v>
      </c>
      <c r="M4" s="4" t="n">
        <v>0.651</v>
      </c>
      <c r="N4" s="4" t="n">
        <v>0.729</v>
      </c>
    </row>
    <row r="5">
      <c r="A5" t="inlineStr">
        <is>
          <t>Ages 12 to 18</t>
        </is>
      </c>
      <c r="B5" t="n">
        <v>2021</v>
      </c>
      <c r="C5" t="inlineStr">
        <is>
          <t>CHIP only</t>
        </is>
      </c>
      <c r="D5" t="inlineStr">
        <is>
          <t>Administrative</t>
        </is>
      </c>
      <c r="E5" t="inlineStr">
        <is>
          <t>Percentage with Persistent Asthma who had a Ratio of Controller Medications to Total Asthma Medications of 0.50 or Greater: Ages 12 to 18</t>
        </is>
      </c>
      <c r="F5" t="inlineStr">
        <is>
          <t>Higher values are better</t>
        </is>
      </c>
      <c r="G5" t="inlineStr">
        <is>
          <t>Mathematica analysis of the Quality Measure Reporting (QMR) system reports for the FFY 2021 reporting cycle as of June 1, 2023.</t>
        </is>
      </c>
      <c r="H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0.715</v>
      </c>
      <c r="J5" s="4" t="n">
        <v>0.704</v>
      </c>
      <c r="K5" s="4" t="n">
        <v>0.896</v>
      </c>
      <c r="L5" s="4" t="n">
        <v>0.471</v>
      </c>
      <c r="M5" s="4" t="n">
        <v>0.651</v>
      </c>
      <c r="N5" s="4" t="n">
        <v>0.729</v>
      </c>
    </row>
    <row r="6">
      <c r="A6" t="inlineStr">
        <is>
          <t>Ages 12 to 18</t>
        </is>
      </c>
      <c r="B6" t="n">
        <v>2022</v>
      </c>
      <c r="C6" t="inlineStr">
        <is>
          <t>Medicaid only</t>
        </is>
      </c>
      <c r="D6" t="inlineStr">
        <is>
          <t>Administrative</t>
        </is>
      </c>
      <c r="E6" t="inlineStr">
        <is>
          <t>Percentage with Persistent Asthma who had a Ratio of Controller Medications to Total Asthma Medications of 0.50 or Greater: Ages 12 to 18</t>
        </is>
      </c>
      <c r="F6" t="inlineStr">
        <is>
          <t>Higher values are better</t>
        </is>
      </c>
      <c r="G6" t="inlineStr">
        <is>
          <t>Mathematica analysis of the Quality Measure Reporting (QMR) system reports for the FFY 2022 reporting cycle as of June 1, 2023.</t>
        </is>
      </c>
      <c r="H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0.679</v>
      </c>
      <c r="J6" s="4" t="n">
        <v>0.6879999999999999</v>
      </c>
      <c r="K6" s="4" t="n">
        <v>0.901</v>
      </c>
      <c r="L6" s="4" t="n">
        <v>0.284</v>
      </c>
      <c r="M6" s="4" t="n">
        <v>0.648</v>
      </c>
      <c r="N6" s="4" t="n">
        <v>0.725</v>
      </c>
    </row>
    <row r="7">
      <c r="A7" t="inlineStr">
        <is>
          <t>Ages 12 to 18</t>
        </is>
      </c>
      <c r="B7" t="n">
        <v>2022</v>
      </c>
      <c r="C7" t="inlineStr">
        <is>
          <t>CHIP only</t>
        </is>
      </c>
      <c r="D7" t="inlineStr">
        <is>
          <t>Administrative</t>
        </is>
      </c>
      <c r="E7" t="inlineStr">
        <is>
          <t>Percentage with Persistent Asthma who had a Ratio of Controller Medications to Total Asthma Medications of 0.50 or Greater: Ages 12 to 18</t>
        </is>
      </c>
      <c r="F7" t="inlineStr">
        <is>
          <t>Higher values are better</t>
        </is>
      </c>
      <c r="G7" t="inlineStr">
        <is>
          <t>Mathematica analysis of the Quality Measure Reporting (QMR) system reports for the FFY 2022 reporting cycle as of June 1, 2023.</t>
        </is>
      </c>
      <c r="H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0.777</v>
      </c>
      <c r="J7" s="4" t="n">
        <v>0.6879999999999999</v>
      </c>
      <c r="K7" s="4" t="n">
        <v>0.901</v>
      </c>
      <c r="L7" s="4" t="n">
        <v>0.284</v>
      </c>
      <c r="M7" s="4" t="n">
        <v>0.648</v>
      </c>
      <c r="N7" s="4" t="n">
        <v>0.725</v>
      </c>
    </row>
    <row r="8">
      <c r="A8" t="inlineStr">
        <is>
          <t>Ages 12 to 18</t>
        </is>
      </c>
      <c r="B8" t="n">
        <v>2023</v>
      </c>
      <c r="C8" t="inlineStr">
        <is>
          <t>Medicaid only</t>
        </is>
      </c>
      <c r="D8" t="inlineStr">
        <is>
          <t>Administrative</t>
        </is>
      </c>
      <c r="E8" t="inlineStr">
        <is>
          <t>Percentage with Persistent Asthma who had a Ratio of Controller Medications to Total Asthma Medications of 0.50 or Greater: Ages 12 to 18</t>
        </is>
      </c>
      <c r="F8" t="inlineStr">
        <is>
          <t>Higher values are better</t>
        </is>
      </c>
      <c r="G8" t="inlineStr">
        <is>
          <t>Mathematica analysis of the Quality Measure Reporting (QMR) system reports for the 2023 Core Set as of May 16, 2024.</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0.645</v>
      </c>
      <c r="J8" s="4" t="n">
        <v>0.6870000000000001</v>
      </c>
      <c r="K8" s="4" t="n">
        <v>0.925</v>
      </c>
      <c r="L8" s="4" t="n">
        <v>0.356</v>
      </c>
      <c r="M8" s="4" t="n">
        <v>0.647</v>
      </c>
      <c r="N8" s="4" t="n">
        <v>0.729</v>
      </c>
    </row>
    <row r="9">
      <c r="A9" t="inlineStr">
        <is>
          <t>Ages 12 to 18</t>
        </is>
      </c>
      <c r="B9" t="n">
        <v>2023</v>
      </c>
      <c r="C9" t="inlineStr">
        <is>
          <t>CHIP only</t>
        </is>
      </c>
      <c r="D9" t="inlineStr">
        <is>
          <t>Administrative</t>
        </is>
      </c>
      <c r="E9" t="inlineStr">
        <is>
          <t>Percentage with Persistent Asthma who had a Ratio of Controller Medications to Total Asthma Medications of 0.50 or Greater: Ages 12 to 18</t>
        </is>
      </c>
      <c r="F9" t="inlineStr">
        <is>
          <t>Higher values are better</t>
        </is>
      </c>
      <c r="G9" t="inlineStr">
        <is>
          <t>Mathematica analysis of the Quality Measure Reporting (QMR) system reports for the 2023 Core Set as of May 16, 2024.</t>
        </is>
      </c>
      <c r="H9"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s="4" t="n">
        <v>0.755</v>
      </c>
      <c r="J9" s="4" t="n">
        <v>0.6870000000000001</v>
      </c>
      <c r="K9" s="4" t="n">
        <v>0.925</v>
      </c>
      <c r="L9" s="4" t="n">
        <v>0.356</v>
      </c>
      <c r="M9" s="4" t="n">
        <v>0.647</v>
      </c>
      <c r="N9" s="4" t="n">
        <v>0.729</v>
      </c>
    </row>
    <row r="10">
      <c r="A10" t="inlineStr">
        <is>
          <t>Ages 12 to 18</t>
        </is>
      </c>
      <c r="B10" t="n">
        <v>2024</v>
      </c>
      <c r="C10" t="inlineStr">
        <is>
          <t>Medicaid (Title XIX), Title XXI-funded Medicaid Expansion CHIP, Separate CHIP (Title XXI)</t>
        </is>
      </c>
      <c r="D10" t="inlineStr">
        <is>
          <t>Administrative</t>
        </is>
      </c>
      <c r="E10" t="inlineStr">
        <is>
          <t>Percentage with Persistent Asthma who had a Ratio of Controller Medications to Total Asthma Medications of 0.50 or Greater: Ages 12 to 18</t>
        </is>
      </c>
      <c r="F10" t="inlineStr">
        <is>
          <t>Higher values are better</t>
        </is>
      </c>
      <c r="G10" t="inlineStr">
        <is>
          <t>Mathematica analysis of the Quality Measure Reporting (QMR) system reports for the 2024 Core Set as of April 28, 2025.</t>
        </is>
      </c>
      <c r="H10" t="inlineStr">
        <is>
          <t>State-specific comments: Rate combines the Medicaid and separate CHIP data reported by the state in the QMR system. See Medicaid and separate CHIP state-specific comments for information about the data reported for each population.</t>
        </is>
      </c>
      <c r="I10" s="4" t="n">
        <v>0.646</v>
      </c>
      <c r="J10" s="4" t="n">
        <v>0.6909999999999999</v>
      </c>
      <c r="K10" s="4" t="n">
        <v>0.976</v>
      </c>
      <c r="L10" s="4" t="n">
        <v>0.374</v>
      </c>
      <c r="M10" s="4" t="n">
        <v>0.62</v>
      </c>
      <c r="N10" s="4" t="n">
        <v>0.736</v>
      </c>
    </row>
    <row r="11">
      <c r="A11" t="inlineStr">
        <is>
          <t>Ages 12 to 18</t>
        </is>
      </c>
      <c r="B11" t="n">
        <v>2024</v>
      </c>
      <c r="C11" t="inlineStr">
        <is>
          <t>Medicaid (Title XIX), Title XXI-funded Medicaid Expansion CHIP</t>
        </is>
      </c>
      <c r="D11" t="inlineStr">
        <is>
          <t>Administrative</t>
        </is>
      </c>
      <c r="E11" t="inlineStr">
        <is>
          <t>Percentage with Persistent Asthma who had a Ratio of Controller Medications to Total Asthma Medications of 0.50 or Greater: Ages 12 to 18</t>
        </is>
      </c>
      <c r="F11" t="inlineStr">
        <is>
          <t>Higher values are better</t>
        </is>
      </c>
      <c r="G11" t="inlineStr">
        <is>
          <t>Mathematica analysis of the Quality Measure Reporting (QMR) system reports for the 2024 Core Set as of April 28, 2025.</t>
        </is>
      </c>
      <c r="H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0.646</v>
      </c>
      <c r="J11" s="4" t="n">
        <v>0.6909999999999999</v>
      </c>
      <c r="K11" s="4" t="n">
        <v>0.976</v>
      </c>
      <c r="L11" s="4" t="n">
        <v>0.374</v>
      </c>
      <c r="M11" s="4" t="n">
        <v>0.62</v>
      </c>
      <c r="N11" s="4" t="n">
        <v>0.736</v>
      </c>
    </row>
    <row r="12">
      <c r="A12" t="inlineStr">
        <is>
          <t>Ages 12 to 18</t>
        </is>
      </c>
      <c r="B12" t="n">
        <v>2024</v>
      </c>
      <c r="C12" t="inlineStr">
        <is>
          <t>Separate CHIP (Title XXI)</t>
        </is>
      </c>
      <c r="D12" t="inlineStr">
        <is>
          <t>Administrative</t>
        </is>
      </c>
      <c r="E12" t="inlineStr">
        <is>
          <t>Percentage with Persistent Asthma who had a Ratio of Controller Medications to Total Asthma Medications of 0.50 or Greater: Ages 12 to 18</t>
        </is>
      </c>
      <c r="F12" t="inlineStr">
        <is>
          <t>Higher values are better</t>
        </is>
      </c>
      <c r="G12" t="inlineStr">
        <is>
          <t>Mathematica analysis of the Quality Measure Reporting (QMR) system reports for the 2024 Core Set as of April 28, 2025.</t>
        </is>
      </c>
      <c r="H1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0.72</v>
      </c>
      <c r="J12" s="4" t="n">
        <v>0.6909999999999999</v>
      </c>
      <c r="K12" s="4" t="n">
        <v>0.976</v>
      </c>
      <c r="L12" s="4" t="n">
        <v>0.374</v>
      </c>
      <c r="M12" s="4" t="n">
        <v>0.62</v>
      </c>
      <c r="N12" s="4" t="n">
        <v>0.736</v>
      </c>
    </row>
    <row r="13">
      <c r="A13" t="inlineStr">
        <is>
          <t>Ages 5 to 11</t>
        </is>
      </c>
      <c r="B13" t="n">
        <v>2021</v>
      </c>
      <c r="C13" t="inlineStr">
        <is>
          <t>Medicaid only</t>
        </is>
      </c>
      <c r="D13" t="inlineStr">
        <is>
          <t>Administrative</t>
        </is>
      </c>
      <c r="E13" t="inlineStr">
        <is>
          <t>Percentage with Persistent Asthma who had a Ratio of Controller Medications to Total Asthma Medications of 0.50 or Greater: Ages 5 to 11</t>
        </is>
      </c>
      <c r="F13" t="inlineStr">
        <is>
          <t>Higher values are better</t>
        </is>
      </c>
      <c r="G13" t="inlineStr">
        <is>
          <t>Mathematica analysis of the Quality Measure Reporting (QMR) system reports for the FFY 2021 reporting cycle as of June 1, 2023.</t>
        </is>
      </c>
      <c r="H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3" s="4" t="n">
        <v>0.774</v>
      </c>
      <c r="J13" s="4" t="n">
        <v>0.783</v>
      </c>
      <c r="K13" s="4" t="n">
        <v>0.959</v>
      </c>
      <c r="L13" s="4" t="n">
        <v>0.446</v>
      </c>
      <c r="M13" s="4" t="n">
        <v>0.75</v>
      </c>
      <c r="N13" s="4" t="n">
        <v>0.8179999999999999</v>
      </c>
    </row>
    <row r="14">
      <c r="A14" t="inlineStr">
        <is>
          <t>Ages 5 to 11</t>
        </is>
      </c>
      <c r="B14" t="n">
        <v>2021</v>
      </c>
      <c r="C14" t="inlineStr">
        <is>
          <t>CHIP only</t>
        </is>
      </c>
      <c r="D14" t="inlineStr">
        <is>
          <t>Administrative</t>
        </is>
      </c>
      <c r="E14" t="inlineStr">
        <is>
          <t>Percentage with Persistent Asthma who had a Ratio of Controller Medications to Total Asthma Medications of 0.50 or Greater: Ages 5 to 11</t>
        </is>
      </c>
      <c r="F14" t="inlineStr">
        <is>
          <t>Higher values are better</t>
        </is>
      </c>
      <c r="G14" t="inlineStr">
        <is>
          <t>Mathematica analysis of the Quality Measure Reporting (QMR) system reports for the FFY 2021 reporting cycle as of June 1, 2023.</t>
        </is>
      </c>
      <c r="H1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s="4" t="n">
        <v>0.855</v>
      </c>
      <c r="J14" s="4" t="n">
        <v>0.783</v>
      </c>
      <c r="K14" s="4" t="n">
        <v>0.959</v>
      </c>
      <c r="L14" s="4" t="n">
        <v>0.446</v>
      </c>
      <c r="M14" s="4" t="n">
        <v>0.75</v>
      </c>
      <c r="N14" s="4" t="n">
        <v>0.8179999999999999</v>
      </c>
    </row>
    <row r="15">
      <c r="A15" t="inlineStr">
        <is>
          <t>Ages 5 to 11</t>
        </is>
      </c>
      <c r="B15" t="n">
        <v>2022</v>
      </c>
      <c r="C15" t="inlineStr">
        <is>
          <t>Medicaid only</t>
        </is>
      </c>
      <c r="D15" t="inlineStr">
        <is>
          <t>Administrative</t>
        </is>
      </c>
      <c r="E15" t="inlineStr">
        <is>
          <t>Percentage with Persistent Asthma who had a Ratio of Controller Medications to Total Asthma Medications of 0.50 or Greater: Ages 5 to 11</t>
        </is>
      </c>
      <c r="F15" t="inlineStr">
        <is>
          <t>Higher values are better</t>
        </is>
      </c>
      <c r="G15" t="inlineStr">
        <is>
          <t>Mathematica analysis of the Quality Measure Reporting (QMR) system reports for the FFY 2022 reporting cycle as of June 1, 2023.</t>
        </is>
      </c>
      <c r="H1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s="4" t="n">
        <v>0.752</v>
      </c>
      <c r="J15" s="4" t="n">
        <v>0.773</v>
      </c>
      <c r="K15" s="4" t="n">
        <v>0.9389999999999999</v>
      </c>
      <c r="L15" s="4" t="n">
        <v>0.364</v>
      </c>
      <c r="M15" s="4" t="n">
        <v>0.732</v>
      </c>
      <c r="N15" s="4" t="n">
        <v>0.8070000000000001</v>
      </c>
    </row>
    <row r="16">
      <c r="A16" t="inlineStr">
        <is>
          <t>Ages 5 to 11</t>
        </is>
      </c>
      <c r="B16" t="n">
        <v>2022</v>
      </c>
      <c r="C16" t="inlineStr">
        <is>
          <t>CHIP only</t>
        </is>
      </c>
      <c r="D16" t="inlineStr">
        <is>
          <t>Administrative</t>
        </is>
      </c>
      <c r="E16" t="inlineStr">
        <is>
          <t>Percentage with Persistent Asthma who had a Ratio of Controller Medications to Total Asthma Medications of 0.50 or Greater: Ages 5 to 11</t>
        </is>
      </c>
      <c r="F16" t="inlineStr">
        <is>
          <t>Higher values are better</t>
        </is>
      </c>
      <c r="G16" t="inlineStr">
        <is>
          <t>Mathematica analysis of the Quality Measure Reporting (QMR) system reports for the FFY 2022 reporting cycle as of June 1, 2023.</t>
        </is>
      </c>
      <c r="H16"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6" s="4" t="n">
        <v>0.877</v>
      </c>
      <c r="J16" s="4" t="n">
        <v>0.773</v>
      </c>
      <c r="K16" s="4" t="n">
        <v>0.9389999999999999</v>
      </c>
      <c r="L16" s="4" t="n">
        <v>0.364</v>
      </c>
      <c r="M16" s="4" t="n">
        <v>0.732</v>
      </c>
      <c r="N16" s="4" t="n">
        <v>0.8070000000000001</v>
      </c>
    </row>
    <row r="17">
      <c r="A17" t="inlineStr">
        <is>
          <t>Ages 5 to 11</t>
        </is>
      </c>
      <c r="B17" t="n">
        <v>2023</v>
      </c>
      <c r="C17" t="inlineStr">
        <is>
          <t>Medicaid only</t>
        </is>
      </c>
      <c r="D17" t="inlineStr">
        <is>
          <t>Administrative</t>
        </is>
      </c>
      <c r="E17" t="inlineStr">
        <is>
          <t>Percentage with Persistent Asthma who had a Ratio of Controller Medications to Total Asthma Medications of 0.50 or Greater: Ages 5 to 11</t>
        </is>
      </c>
      <c r="F17" t="inlineStr">
        <is>
          <t>Higher values are better</t>
        </is>
      </c>
      <c r="G17" t="inlineStr">
        <is>
          <t>Mathematica analysis of the Quality Measure Reporting (QMR) system reports for the 2023 Core Set as of May 16, 2024.</t>
        </is>
      </c>
      <c r="H1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7" s="4" t="n">
        <v>0.721</v>
      </c>
      <c r="J17" s="4" t="n">
        <v>0.759</v>
      </c>
      <c r="K17" s="4" t="n">
        <v>0.922</v>
      </c>
      <c r="L17" s="4" t="n">
        <v>0.471</v>
      </c>
      <c r="M17" s="4" t="n">
        <v>0.713</v>
      </c>
      <c r="N17" s="4" t="n">
        <v>0.8120000000000001</v>
      </c>
    </row>
    <row r="18">
      <c r="A18" t="inlineStr">
        <is>
          <t>Ages 5 to 11</t>
        </is>
      </c>
      <c r="B18" t="n">
        <v>2023</v>
      </c>
      <c r="C18" t="inlineStr">
        <is>
          <t>CHIP only</t>
        </is>
      </c>
      <c r="D18" t="inlineStr">
        <is>
          <t>Administrative</t>
        </is>
      </c>
      <c r="E18" t="inlineStr">
        <is>
          <t>Percentage with Persistent Asthma who had a Ratio of Controller Medications to Total Asthma Medications of 0.50 or Greater: Ages 5 to 11</t>
        </is>
      </c>
      <c r="F18" t="inlineStr">
        <is>
          <t>Higher values are better</t>
        </is>
      </c>
      <c r="G18" t="inlineStr">
        <is>
          <t>Mathematica analysis of the Quality Measure Reporting (QMR) system reports for the 2023 Core Set as of May 16, 2024.</t>
        </is>
      </c>
      <c r="H18"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8" s="4" t="n">
        <v>0.863</v>
      </c>
      <c r="J18" s="4" t="n">
        <v>0.759</v>
      </c>
      <c r="K18" s="4" t="n">
        <v>0.922</v>
      </c>
      <c r="L18" s="4" t="n">
        <v>0.471</v>
      </c>
      <c r="M18" s="4" t="n">
        <v>0.713</v>
      </c>
      <c r="N18" s="4" t="n">
        <v>0.8120000000000001</v>
      </c>
    </row>
    <row r="19">
      <c r="A19" t="inlineStr">
        <is>
          <t>Ages 5 to 11</t>
        </is>
      </c>
      <c r="B19" t="n">
        <v>2024</v>
      </c>
      <c r="C19" t="inlineStr">
        <is>
          <t>Medicaid (Title XIX), Title XXI-funded Medicaid Expansion CHIP, Separate CHIP (Title XXI)</t>
        </is>
      </c>
      <c r="D19" t="inlineStr">
        <is>
          <t>Administrative</t>
        </is>
      </c>
      <c r="E19" t="inlineStr">
        <is>
          <t>Percentage with Persistent Asthma who had a Ratio of Controller Medications to Total Asthma Medications of 0.50 or Greater: Ages 5 to 11</t>
        </is>
      </c>
      <c r="F19" t="inlineStr">
        <is>
          <t>Higher values are better</t>
        </is>
      </c>
      <c r="G19" t="inlineStr">
        <is>
          <t>Mathematica analysis of the Quality Measure Reporting (QMR) system reports for the 2024 Core Set as of April 28, 2025.</t>
        </is>
      </c>
      <c r="H19" t="inlineStr">
        <is>
          <t>State-specific comments: Rate combines the Medicaid and separate CHIP data reported by the state in the QMR system. See Medicaid and separate CHIP state-specific comments for information about the data reported for each population.</t>
        </is>
      </c>
      <c r="I19" s="4" t="n">
        <v>0.694</v>
      </c>
      <c r="J19" s="4" t="n">
        <v>0.732</v>
      </c>
      <c r="K19" s="4" t="n">
        <v>0.995</v>
      </c>
      <c r="L19" s="4" t="n">
        <v>0.369</v>
      </c>
      <c r="M19" s="4" t="n">
        <v>0.653</v>
      </c>
      <c r="N19" s="4" t="n">
        <v>0.8</v>
      </c>
    </row>
    <row r="20">
      <c r="A20" t="inlineStr">
        <is>
          <t>Ages 5 to 11</t>
        </is>
      </c>
      <c r="B20" t="n">
        <v>2024</v>
      </c>
      <c r="C20" t="inlineStr">
        <is>
          <t>Medicaid (Title XIX), Title XXI-funded Medicaid Expansion CHIP</t>
        </is>
      </c>
      <c r="D20" t="inlineStr">
        <is>
          <t>Administrative</t>
        </is>
      </c>
      <c r="E20" t="inlineStr">
        <is>
          <t>Percentage with Persistent Asthma who had a Ratio of Controller Medications to Total Asthma Medications of 0.50 or Greater: Ages 5 to 11</t>
        </is>
      </c>
      <c r="F20" t="inlineStr">
        <is>
          <t>Higher values are better</t>
        </is>
      </c>
      <c r="G20" t="inlineStr">
        <is>
          <t>Mathematica analysis of the Quality Measure Reporting (QMR) system reports for the 2024 Core Set as of April 28, 2025.</t>
        </is>
      </c>
      <c r="H2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0" s="4" t="n">
        <v>0.6929999999999999</v>
      </c>
      <c r="J20" s="4" t="n">
        <v>0.732</v>
      </c>
      <c r="K20" s="4" t="n">
        <v>0.995</v>
      </c>
      <c r="L20" s="4" t="n">
        <v>0.369</v>
      </c>
      <c r="M20" s="4" t="n">
        <v>0.653</v>
      </c>
      <c r="N20" s="4" t="n">
        <v>0.8</v>
      </c>
    </row>
    <row r="21">
      <c r="A21" t="inlineStr">
        <is>
          <t>Ages 5 to 11</t>
        </is>
      </c>
      <c r="B21" t="n">
        <v>2024</v>
      </c>
      <c r="C21" t="inlineStr">
        <is>
          <t>Separate CHIP (Title XXI)</t>
        </is>
      </c>
      <c r="D21" t="inlineStr">
        <is>
          <t>Administrative</t>
        </is>
      </c>
      <c r="E21" t="inlineStr">
        <is>
          <t>Percentage with Persistent Asthma who had a Ratio of Controller Medications to Total Asthma Medications of 0.50 or Greater: Ages 5 to 11</t>
        </is>
      </c>
      <c r="F21" t="inlineStr">
        <is>
          <t>Higher values are better</t>
        </is>
      </c>
      <c r="G21" t="inlineStr">
        <is>
          <t>Mathematica analysis of the Quality Measure Reporting (QMR) system reports for the 2024 Core Set as of April 28, 2025.</t>
        </is>
      </c>
      <c r="H21"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1" s="4" t="n">
        <v>0.793</v>
      </c>
      <c r="J21" s="4" t="n">
        <v>0.732</v>
      </c>
      <c r="K21" s="4" t="n">
        <v>0.995</v>
      </c>
      <c r="L21" s="4" t="n">
        <v>0.369</v>
      </c>
      <c r="M21" s="4" t="n">
        <v>0.653</v>
      </c>
      <c r="N21" s="4" t="n">
        <v>0.8</v>
      </c>
    </row>
    <row r="22">
      <c r="A22" t="inlineStr">
        <is>
          <t>Total (Ages 5 to 18)</t>
        </is>
      </c>
      <c r="B22" t="n">
        <v>2021</v>
      </c>
      <c r="C22" t="inlineStr">
        <is>
          <t>Medicaid only</t>
        </is>
      </c>
      <c r="D22" t="inlineStr">
        <is>
          <t>Administrative</t>
        </is>
      </c>
      <c r="E22" t="inlineStr">
        <is>
          <t>Percentage with Persistent Asthma who had a Ratio of Controller Medications to Total Asthma Medications of 0.50 or Greater: Ages 5 to 18</t>
        </is>
      </c>
      <c r="F22" t="inlineStr">
        <is>
          <t>Higher values are better</t>
        </is>
      </c>
      <c r="G22" t="inlineStr">
        <is>
          <t>Mathematica analysis of the Quality Measure Reporting (QMR) system reports for the FFY 2021 reporting cycle as of June 1, 2023.</t>
        </is>
      </c>
      <c r="H22"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2" s="4" t="n">
        <v>0.728</v>
      </c>
      <c r="J22" s="4" t="n">
        <v>0.743</v>
      </c>
      <c r="K22" s="4" t="n">
        <v>0.924</v>
      </c>
      <c r="L22" s="4" t="n">
        <v>0.524</v>
      </c>
      <c r="M22" s="4" t="n">
        <v>0.697</v>
      </c>
      <c r="N22" s="4" t="n">
        <v>0.767</v>
      </c>
    </row>
    <row r="23">
      <c r="A23" t="inlineStr">
        <is>
          <t>Total (Ages 5 to 18)</t>
        </is>
      </c>
      <c r="B23" t="n">
        <v>2021</v>
      </c>
      <c r="C23" t="inlineStr">
        <is>
          <t>CHIP only</t>
        </is>
      </c>
      <c r="D23" t="inlineStr">
        <is>
          <t>Administrative</t>
        </is>
      </c>
      <c r="E23" t="inlineStr">
        <is>
          <t>Percentage with Persistent Asthma who had a Ratio of Controller Medications to Total Asthma Medications of 0.50 or Greater: Ages 5 to 18</t>
        </is>
      </c>
      <c r="F23" t="inlineStr">
        <is>
          <t>Higher values are better</t>
        </is>
      </c>
      <c r="G23" t="inlineStr">
        <is>
          <t>Mathematica analysis of the Quality Measure Reporting (QMR) system reports for the FFY 2021 reporting cycle as of June 1, 2023.</t>
        </is>
      </c>
      <c r="H23"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3" s="4" t="n">
        <v>0.79</v>
      </c>
      <c r="J23" s="4" t="n">
        <v>0.743</v>
      </c>
      <c r="K23" s="4" t="n">
        <v>0.924</v>
      </c>
      <c r="L23" s="4" t="n">
        <v>0.524</v>
      </c>
      <c r="M23" s="4" t="n">
        <v>0.697</v>
      </c>
      <c r="N23" s="4" t="n">
        <v>0.767</v>
      </c>
    </row>
    <row r="24">
      <c r="A24" t="inlineStr">
        <is>
          <t>Total (Ages 5 to 18)</t>
        </is>
      </c>
      <c r="B24" t="n">
        <v>2022</v>
      </c>
      <c r="C24" t="inlineStr">
        <is>
          <t>Medicaid only</t>
        </is>
      </c>
      <c r="D24" t="inlineStr">
        <is>
          <t>Administrative</t>
        </is>
      </c>
      <c r="E24" t="inlineStr">
        <is>
          <t>Percentage with Persistent Asthma who had a Ratio of Controller Medications to Total Asthma Medications of 0.50 or Greater: Ages 5 to 18</t>
        </is>
      </c>
      <c r="F24" t="inlineStr">
        <is>
          <t>Higher values are better</t>
        </is>
      </c>
      <c r="G24" t="inlineStr">
        <is>
          <t>Mathematica analysis of the Quality Measure Reporting (QMR) system reports for the FFY 2022 reporting cycle as of June 1, 2023.</t>
        </is>
      </c>
      <c r="H2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4" s="4" t="n">
        <v>0.716</v>
      </c>
      <c r="J24" s="4" t="n">
        <v>0.731</v>
      </c>
      <c r="K24" s="4" t="n">
        <v>0.927</v>
      </c>
      <c r="L24" s="4" t="n">
        <v>0.317</v>
      </c>
      <c r="M24" s="4" t="n">
        <v>0.681</v>
      </c>
      <c r="N24" s="4" t="n">
        <v>0.765</v>
      </c>
    </row>
    <row r="25">
      <c r="A25" t="inlineStr">
        <is>
          <t>Total (Ages 5 to 18)</t>
        </is>
      </c>
      <c r="B25" t="n">
        <v>2022</v>
      </c>
      <c r="C25" t="inlineStr">
        <is>
          <t>CHIP only</t>
        </is>
      </c>
      <c r="D25" t="inlineStr">
        <is>
          <t>Administrative</t>
        </is>
      </c>
      <c r="E25" t="inlineStr">
        <is>
          <t>Percentage with Persistent Asthma who had a Ratio of Controller Medications to Total Asthma Medications of 0.50 or Greater: Ages 5 to 18</t>
        </is>
      </c>
      <c r="F25" t="inlineStr">
        <is>
          <t>Higher values are better</t>
        </is>
      </c>
      <c r="G25" t="inlineStr">
        <is>
          <t>Mathematica analysis of the Quality Measure Reporting (QMR) system reports for the FFY 2022 reporting cycle as of June 1, 2023.</t>
        </is>
      </c>
      <c r="H2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5" s="4" t="n">
        <v>0.829</v>
      </c>
      <c r="J25" s="4" t="n">
        <v>0.731</v>
      </c>
      <c r="K25" s="4" t="n">
        <v>0.927</v>
      </c>
      <c r="L25" s="4" t="n">
        <v>0.317</v>
      </c>
      <c r="M25" s="4" t="n">
        <v>0.681</v>
      </c>
      <c r="N25" s="4" t="n">
        <v>0.765</v>
      </c>
    </row>
    <row r="26">
      <c r="A26" t="inlineStr">
        <is>
          <t>Total (Ages 5 to 18)</t>
        </is>
      </c>
      <c r="B26" t="n">
        <v>2023</v>
      </c>
      <c r="C26" t="inlineStr">
        <is>
          <t>Medicaid only</t>
        </is>
      </c>
      <c r="D26" t="inlineStr">
        <is>
          <t>Administrative</t>
        </is>
      </c>
      <c r="E26" t="inlineStr">
        <is>
          <t>Percentage with Persistent Asthma who had a Ratio of Controller Medications to Total Asthma Medications of 0.50 or Greater: Ages 5 to 18</t>
        </is>
      </c>
      <c r="F26" t="inlineStr">
        <is>
          <t>Higher values are better</t>
        </is>
      </c>
      <c r="G26" t="inlineStr">
        <is>
          <t>Mathematica analysis of the Quality Measure Reporting (QMR) system reports for the 2023 Core Set as of May 16, 2024.</t>
        </is>
      </c>
      <c r="H2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6" s="4" t="n">
        <v>0.6850000000000001</v>
      </c>
      <c r="J26" s="4" t="n">
        <v>0.716</v>
      </c>
      <c r="K26" s="4" t="n">
        <v>0.921</v>
      </c>
      <c r="L26" s="4" t="n">
        <v>0.408</v>
      </c>
      <c r="M26" s="4" t="n">
        <v>0.6830000000000001</v>
      </c>
      <c r="N26" s="4" t="n">
        <v>0.763</v>
      </c>
    </row>
    <row r="27">
      <c r="A27" t="inlineStr">
        <is>
          <t>Total (Ages 5 to 18)</t>
        </is>
      </c>
      <c r="B27" t="n">
        <v>2023</v>
      </c>
      <c r="C27" t="inlineStr">
        <is>
          <t>CHIP only</t>
        </is>
      </c>
      <c r="D27" t="inlineStr">
        <is>
          <t>Administrative</t>
        </is>
      </c>
      <c r="E27" t="inlineStr">
        <is>
          <t>Percentage with Persistent Asthma who had a Ratio of Controller Medications to Total Asthma Medications of 0.50 or Greater: Ages 5 to 18</t>
        </is>
      </c>
      <c r="F27" t="inlineStr">
        <is>
          <t>Higher values are better</t>
        </is>
      </c>
      <c r="G27" t="inlineStr">
        <is>
          <t>Mathematica analysis of the Quality Measure Reporting (QMR) system reports for the 2023 Core Set as of May 16, 2024.</t>
        </is>
      </c>
      <c r="H2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7" s="4" t="n">
        <v>0.8090000000000001</v>
      </c>
      <c r="J27" s="4" t="n">
        <v>0.716</v>
      </c>
      <c r="K27" s="4" t="n">
        <v>0.921</v>
      </c>
      <c r="L27" s="4" t="n">
        <v>0.408</v>
      </c>
      <c r="M27" s="4" t="n">
        <v>0.6830000000000001</v>
      </c>
      <c r="N27" s="4" t="n">
        <v>0.763</v>
      </c>
    </row>
    <row r="28">
      <c r="A28" t="inlineStr">
        <is>
          <t>Total (Ages 5 to 18)</t>
        </is>
      </c>
      <c r="B28" t="n">
        <v>2024</v>
      </c>
      <c r="C28" t="inlineStr">
        <is>
          <t>Medicaid (Title XIX), Title XXI-funded Medicaid Expansion CHIP, Separate CHIP (Title XXI)</t>
        </is>
      </c>
      <c r="D28" t="inlineStr">
        <is>
          <t>Administrative</t>
        </is>
      </c>
      <c r="E28" t="inlineStr">
        <is>
          <t>Percentage with Persistent Asthma who had a Ratio of Controller Medications to Total Asthma Medications of 0.50 or Greater: Ages 5 to 18</t>
        </is>
      </c>
      <c r="F28" t="inlineStr">
        <is>
          <t>Higher values are better</t>
        </is>
      </c>
      <c r="G28" t="inlineStr">
        <is>
          <t>Mathematica analysis of the Quality Measure Reporting (QMR) system reports for the 2024 Core Set as of April 28, 2025.</t>
        </is>
      </c>
      <c r="H28" t="inlineStr">
        <is>
          <t>State-specific comments: Rate combines the Medicaid and separate CHIP data reported by the state in the QMR system. See Medicaid and separate CHIP state-specific comments for information about the data reported for each population.</t>
        </is>
      </c>
      <c r="I28" s="4" t="n">
        <v>0.672</v>
      </c>
      <c r="J28" s="4" t="n">
        <v>0.701</v>
      </c>
      <c r="K28" s="4" t="n">
        <v>0.956</v>
      </c>
      <c r="L28" s="4" t="n">
        <v>0.406</v>
      </c>
      <c r="M28" s="4" t="n">
        <v>0.638</v>
      </c>
      <c r="N28" s="4" t="n">
        <v>0.765</v>
      </c>
    </row>
    <row r="29">
      <c r="A29" t="inlineStr">
        <is>
          <t>Total (Ages 5 to 18)</t>
        </is>
      </c>
      <c r="B29" t="n">
        <v>2024</v>
      </c>
      <c r="C29" t="inlineStr">
        <is>
          <t>Medicaid (Title XIX), Title XXI-funded Medicaid Expansion CHIP</t>
        </is>
      </c>
      <c r="D29" t="inlineStr">
        <is>
          <t>Administrative</t>
        </is>
      </c>
      <c r="E29" t="inlineStr">
        <is>
          <t>Percentage with Persistent Asthma who had a Ratio of Controller Medications to Total Asthma Medications of 0.50 or Greater: Ages 5 to 18</t>
        </is>
      </c>
      <c r="F29" t="inlineStr">
        <is>
          <t>Higher values are better</t>
        </is>
      </c>
      <c r="G29" t="inlineStr">
        <is>
          <t>Mathematica analysis of the Quality Measure Reporting (QMR) system reports for the 2024 Core Set as of April 28, 2025.</t>
        </is>
      </c>
      <c r="H29"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9" s="4" t="n">
        <v>0.672</v>
      </c>
      <c r="J29" s="4" t="n">
        <v>0.701</v>
      </c>
      <c r="K29" s="4" t="n">
        <v>0.956</v>
      </c>
      <c r="L29" s="4" t="n">
        <v>0.406</v>
      </c>
      <c r="M29" s="4" t="n">
        <v>0.638</v>
      </c>
      <c r="N29" s="4" t="n">
        <v>0.765</v>
      </c>
    </row>
    <row r="30">
      <c r="A30" t="inlineStr">
        <is>
          <t>Total (Ages 5 to 18)</t>
        </is>
      </c>
      <c r="B30" t="n">
        <v>2024</v>
      </c>
      <c r="C30" t="inlineStr">
        <is>
          <t>Separate CHIP (Title XXI)</t>
        </is>
      </c>
      <c r="D30" t="inlineStr">
        <is>
          <t>Administrative</t>
        </is>
      </c>
      <c r="E30" t="inlineStr">
        <is>
          <t>Percentage with Persistent Asthma who had a Ratio of Controller Medications to Total Asthma Medications of 0.50 or Greater: Ages 5 to 18</t>
        </is>
      </c>
      <c r="F30" t="inlineStr">
        <is>
          <t>Higher values are better</t>
        </is>
      </c>
      <c r="G30" t="inlineStr">
        <is>
          <t>Mathematica analysis of the Quality Measure Reporting (QMR) system reports for the 2024 Core Set as of April 28, 2025.</t>
        </is>
      </c>
      <c r="H30"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30" s="4" t="n">
        <v>0.758</v>
      </c>
      <c r="J30" s="4" t="n">
        <v>0.701</v>
      </c>
      <c r="K30" s="4" t="n">
        <v>0.956</v>
      </c>
      <c r="L30" s="4" t="n">
        <v>0.406</v>
      </c>
      <c r="M30" s="4" t="n">
        <v>0.638</v>
      </c>
      <c r="N30" s="4" t="n">
        <v>0.765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23"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Asthma Medication Ratio: Ages 19 to 64 (AMR-AD)</t>
        </is>
      </c>
    </row>
    <row r="2"/>
    <row r="3">
      <c r="A3" s="1" t="inlineStr">
        <is>
          <t>Age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Ages 19 to 50</t>
        </is>
      </c>
      <c r="B4" t="n">
        <v>2021</v>
      </c>
      <c r="C4" t="inlineStr">
        <is>
          <t>Medicaid</t>
        </is>
      </c>
      <c r="D4" t="inlineStr">
        <is>
          <t>Administrative</t>
        </is>
      </c>
      <c r="E4" t="inlineStr">
        <is>
          <t>Percentage with Persistent Asthma who had a Ratio of Controller Medications to Total Asthma Medications of 0.50 or Greater: Ages 19 to 50</t>
        </is>
      </c>
      <c r="F4" t="inlineStr">
        <is>
          <t>Higher values are better</t>
        </is>
      </c>
      <c r="G4" t="inlineStr">
        <is>
          <t>Mathematica analysis of the Quality Measure Reporting (QMR) system reports for the FFY 2021 reporting cycle as of June 1, 2023.</t>
        </is>
      </c>
      <c r="H4"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0.609</v>
      </c>
      <c r="J4" s="4" t="n">
        <v>0.5590000000000001</v>
      </c>
      <c r="K4" s="4" t="n">
        <v>0.8080000000000001</v>
      </c>
      <c r="L4" s="4" t="n">
        <v>0.431</v>
      </c>
      <c r="M4" s="4" t="n">
        <v>0.524</v>
      </c>
      <c r="N4" s="4" t="n">
        <v>0.585</v>
      </c>
    </row>
    <row r="5">
      <c r="A5" t="inlineStr">
        <is>
          <t>Ages 19 to 50</t>
        </is>
      </c>
      <c r="B5" t="n">
        <v>2022</v>
      </c>
      <c r="C5" t="inlineStr">
        <is>
          <t>Medicaid</t>
        </is>
      </c>
      <c r="D5" t="inlineStr">
        <is>
          <t>Administrative</t>
        </is>
      </c>
      <c r="E5" t="inlineStr">
        <is>
          <t>Percentage with Persistent Asthma who had a Ratio of Controller Medications to Total Asthma Medications of 0.50 or Greater: Ages 19 to 50</t>
        </is>
      </c>
      <c r="F5" t="inlineStr">
        <is>
          <t>Higher values are better</t>
        </is>
      </c>
      <c r="G5" t="inlineStr">
        <is>
          <t>Mathematica analysis of the Quality Measure Reporting (QMR) system reports for the FFY 2022 reporting cycle as of June 1, 2023.</t>
        </is>
      </c>
      <c r="H5"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0.632</v>
      </c>
      <c r="J5" s="4" t="n">
        <v>0.578</v>
      </c>
      <c r="K5" s="4" t="n">
        <v>0.86</v>
      </c>
      <c r="L5" s="4" t="n">
        <v>0.295</v>
      </c>
      <c r="M5" s="4" t="n">
        <v>0.538</v>
      </c>
      <c r="N5" s="4" t="n">
        <v>0.631</v>
      </c>
    </row>
    <row r="6">
      <c r="A6" t="inlineStr">
        <is>
          <t>Ages 19 to 50</t>
        </is>
      </c>
      <c r="B6" t="n">
        <v>2023</v>
      </c>
      <c r="C6" t="inlineStr">
        <is>
          <t>Medicaid</t>
        </is>
      </c>
      <c r="D6" t="inlineStr">
        <is>
          <t>Administrative</t>
        </is>
      </c>
      <c r="E6" t="inlineStr">
        <is>
          <t>Percentage with Persistent Asthma who had a Ratio of Controller Medications to Total Asthma Medications of 0.50 or Greater: Ages 19 to 50</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0.62</v>
      </c>
      <c r="J6" s="4" t="n">
        <v>0.583</v>
      </c>
      <c r="K6" s="4" t="n">
        <v>0.864</v>
      </c>
      <c r="L6" s="4" t="n">
        <v>0.319</v>
      </c>
      <c r="M6" s="4" t="n">
        <v>0.552</v>
      </c>
      <c r="N6" s="4" t="n">
        <v>0.639</v>
      </c>
    </row>
    <row r="7">
      <c r="A7" t="inlineStr">
        <is>
          <t>Ages 19 to 50</t>
        </is>
      </c>
      <c r="B7" t="n">
        <v>2024</v>
      </c>
      <c r="C7" t="inlineStr">
        <is>
          <t>Medicaid (Title XIX), Title XXI-funded Medicaid Expansion CHIP</t>
        </is>
      </c>
      <c r="D7" t="inlineStr">
        <is>
          <t>Administrative</t>
        </is>
      </c>
      <c r="E7" t="inlineStr">
        <is>
          <t>Percentage with Persistent Asthma who had a Ratio of Controller Medications to Total Asthma Medications of 0.50 or Greater: Ages 19 to 50</t>
        </is>
      </c>
      <c r="F7" t="inlineStr">
        <is>
          <t>Higher values are better</t>
        </is>
      </c>
      <c r="G7" t="inlineStr">
        <is>
          <t>Mathematica analysis of the Quality Measure Reporting (QMR) system reports for the 2024 Core Set as of April 28, 2025.</t>
        </is>
      </c>
      <c r="H7"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0.661</v>
      </c>
      <c r="J7" s="4" t="n">
        <v>0.613</v>
      </c>
      <c r="K7" s="4" t="n">
        <v>0.869</v>
      </c>
      <c r="L7" s="4" t="n">
        <v>0.376</v>
      </c>
      <c r="M7" s="4" t="n">
        <v>0.526</v>
      </c>
      <c r="N7" s="4" t="n">
        <v>0.679</v>
      </c>
    </row>
    <row r="8">
      <c r="A8" t="inlineStr">
        <is>
          <t>Ages 51 to 64</t>
        </is>
      </c>
      <c r="B8" t="n">
        <v>2021</v>
      </c>
      <c r="C8" t="inlineStr">
        <is>
          <t>Medicaid</t>
        </is>
      </c>
      <c r="D8" t="inlineStr">
        <is>
          <t>Administrative</t>
        </is>
      </c>
      <c r="E8" t="inlineStr">
        <is>
          <t>Percentage with Persistent Asthma who had a Ratio of Controller Medications to Total Asthma Medications of 0.50 or Greater: Ages 51 to 64</t>
        </is>
      </c>
      <c r="F8" t="inlineStr">
        <is>
          <t>Higher values are better</t>
        </is>
      </c>
      <c r="G8" t="inlineStr">
        <is>
          <t>Mathematica analysis of the Quality Measure Reporting (QMR) system reports for the FFY 2021 reporting cycle as of June 1, 2023.</t>
        </is>
      </c>
      <c r="H8"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0.527</v>
      </c>
      <c r="J8" s="4" t="n">
        <v>0.569</v>
      </c>
      <c r="K8" s="4" t="n">
        <v>0.862</v>
      </c>
      <c r="L8" s="4" t="n">
        <v>0.34</v>
      </c>
      <c r="M8" s="4" t="n">
        <v>0.528</v>
      </c>
      <c r="N8" s="4" t="n">
        <v>0.607</v>
      </c>
    </row>
    <row r="9">
      <c r="A9" t="inlineStr">
        <is>
          <t>Ages 51 to 64</t>
        </is>
      </c>
      <c r="B9" t="n">
        <v>2022</v>
      </c>
      <c r="C9" t="inlineStr">
        <is>
          <t>Medicaid</t>
        </is>
      </c>
      <c r="D9" t="inlineStr">
        <is>
          <t>Administrative</t>
        </is>
      </c>
      <c r="E9" t="inlineStr">
        <is>
          <t>Percentage with Persistent Asthma who had a Ratio of Controller Medications to Total Asthma Medications of 0.50 or Greater: Ages 51 to 64</t>
        </is>
      </c>
      <c r="F9" t="inlineStr">
        <is>
          <t>Higher values are better</t>
        </is>
      </c>
      <c r="G9" t="inlineStr">
        <is>
          <t>Mathematica analysis of the Quality Measure Reporting (QMR) system reports for the FFY 2022 reporting cycle as of June 1, 2023.</t>
        </is>
      </c>
      <c r="H9"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s="4" t="n">
        <v>0.553</v>
      </c>
      <c r="J9" s="4" t="n">
        <v>0.58</v>
      </c>
      <c r="K9" s="4" t="n">
        <v>0.892</v>
      </c>
      <c r="L9" s="4" t="n">
        <v>0.304</v>
      </c>
      <c r="M9" s="4" t="n">
        <v>0.534</v>
      </c>
      <c r="N9" s="4" t="n">
        <v>0.629</v>
      </c>
    </row>
    <row r="10">
      <c r="A10" t="inlineStr">
        <is>
          <t>Ages 51 to 64</t>
        </is>
      </c>
      <c r="B10" t="n">
        <v>2023</v>
      </c>
      <c r="C10" t="inlineStr">
        <is>
          <t>Medicaid</t>
        </is>
      </c>
      <c r="D10" t="inlineStr">
        <is>
          <t>Administrative</t>
        </is>
      </c>
      <c r="E10" t="inlineStr">
        <is>
          <t>Percentage with Persistent Asthma who had a Ratio of Controller Medications to Total Asthma Medications of 0.50 or Greater: Ages 51 to 64</t>
        </is>
      </c>
      <c r="F10" t="inlineStr">
        <is>
          <t>Higher values are better</t>
        </is>
      </c>
      <c r="G10" t="inlineStr">
        <is>
          <t>Mathematica analysis of the Quality Measure Reporting (QMR) system reports for the 2023 Core Set as of May 16, 2024.</t>
        </is>
      </c>
      <c r="H10"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0" s="4" t="n">
        <v>0.571</v>
      </c>
      <c r="J10" s="4" t="n">
        <v>0.601</v>
      </c>
      <c r="K10" s="4" t="n">
        <v>0.902</v>
      </c>
      <c r="L10" s="4" t="n">
        <v>0.413</v>
      </c>
      <c r="M10" s="4" t="n">
        <v>0.5669999999999999</v>
      </c>
      <c r="N10" s="4" t="n">
        <v>0.675</v>
      </c>
    </row>
    <row r="11">
      <c r="A11" t="inlineStr">
        <is>
          <t>Ages 51 to 64</t>
        </is>
      </c>
      <c r="B11" t="n">
        <v>2024</v>
      </c>
      <c r="C11" t="inlineStr">
        <is>
          <t>Medicaid (Title XIX), Title XXI-funded Medicaid Expansion CHIP</t>
        </is>
      </c>
      <c r="D11" t="inlineStr">
        <is>
          <t>Administrative</t>
        </is>
      </c>
      <c r="E11" t="inlineStr">
        <is>
          <t>Percentage with Persistent Asthma who had a Ratio of Controller Medications to Total Asthma Medications of 0.50 or Greater: Ages 51 to 64</t>
        </is>
      </c>
      <c r="F11" t="inlineStr">
        <is>
          <t>Higher values are better</t>
        </is>
      </c>
      <c r="G11" t="inlineStr">
        <is>
          <t>Mathematica analysis of the Quality Measure Reporting (QMR) system reports for the 2024 Core Set as of April 28, 2025.</t>
        </is>
      </c>
      <c r="H11"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0.59</v>
      </c>
      <c r="J11" s="4" t="n">
        <v>0.642</v>
      </c>
      <c r="K11" s="4" t="n">
        <v>0.922</v>
      </c>
      <c r="L11" s="4" t="n">
        <v>0.346</v>
      </c>
      <c r="M11" s="4" t="n">
        <v>0.5620000000000001</v>
      </c>
      <c r="N11" s="4" t="n">
        <v>0.717</v>
      </c>
    </row>
    <row r="12">
      <c r="A12" t="inlineStr">
        <is>
          <t>Total (Ages 19 to 64)</t>
        </is>
      </c>
      <c r="B12" t="n">
        <v>2021</v>
      </c>
      <c r="C12" t="inlineStr">
        <is>
          <t>Medicaid</t>
        </is>
      </c>
      <c r="D12" t="inlineStr">
        <is>
          <t>Administrative</t>
        </is>
      </c>
      <c r="E12" t="inlineStr">
        <is>
          <t>Percentage with Persistent Asthma who had a Ratio of Controller Medications to Total Asthma Medications of 0.50 or Greater: Ages 19 to 64</t>
        </is>
      </c>
      <c r="F12" t="inlineStr">
        <is>
          <t>Higher values are better</t>
        </is>
      </c>
      <c r="G12" t="inlineStr">
        <is>
          <t>Mathematica analysis of the Quality Measure Reporting (QMR) system reports for the FFY 2021 reporting cycle as of June 1, 2023.</t>
        </is>
      </c>
      <c r="H12"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0.583</v>
      </c>
      <c r="J12" s="4" t="n">
        <v>0.5610000000000001</v>
      </c>
      <c r="K12" s="4" t="n">
        <v>0.819</v>
      </c>
      <c r="L12" s="4" t="n">
        <v>0.408</v>
      </c>
      <c r="M12" s="4" t="n">
        <v>0.524</v>
      </c>
      <c r="N12" s="4" t="n">
        <v>0.592</v>
      </c>
    </row>
    <row r="13">
      <c r="A13" t="inlineStr">
        <is>
          <t>Total (Ages 19 to 64)</t>
        </is>
      </c>
      <c r="B13" t="n">
        <v>2022</v>
      </c>
      <c r="C13" t="inlineStr">
        <is>
          <t>Medicaid</t>
        </is>
      </c>
      <c r="D13" t="inlineStr">
        <is>
          <t>Administrative</t>
        </is>
      </c>
      <c r="E13" t="inlineStr">
        <is>
          <t>Percentage with Persistent Asthma who had a Ratio of Controller Medications to Total Asthma Medications of 0.50 or Greater: Ages 19 to 64</t>
        </is>
      </c>
      <c r="F13" t="inlineStr">
        <is>
          <t>Higher values are better</t>
        </is>
      </c>
      <c r="G13" t="inlineStr">
        <is>
          <t>Mathematica analysis of the Quality Measure Reporting (QMR) system reports for the FFY 2022 reporting cycle as of June 1, 2023.</t>
        </is>
      </c>
      <c r="H13"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3" s="4" t="n">
        <v>0.611</v>
      </c>
      <c r="J13" s="4" t="n">
        <v>0.579</v>
      </c>
      <c r="K13" s="4" t="n">
        <v>0.868</v>
      </c>
      <c r="L13" s="4" t="n">
        <v>0.335</v>
      </c>
      <c r="M13" s="4" t="n">
        <v>0.531</v>
      </c>
      <c r="N13" s="4" t="n">
        <v>0.624</v>
      </c>
    </row>
    <row r="14">
      <c r="A14" t="inlineStr">
        <is>
          <t>Total (Ages 19 to 64)</t>
        </is>
      </c>
      <c r="B14" t="n">
        <v>2023</v>
      </c>
      <c r="C14" t="inlineStr">
        <is>
          <t>Medicaid</t>
        </is>
      </c>
      <c r="D14" t="inlineStr">
        <is>
          <t>Administrative</t>
        </is>
      </c>
      <c r="E14" t="inlineStr">
        <is>
          <t>Percentage with Persistent Asthma who had a Ratio of Controller Medications to Total Asthma Medications of 0.50 or Greater: Ages 19 to 64</t>
        </is>
      </c>
      <c r="F14" t="inlineStr">
        <is>
          <t>Higher values are better</t>
        </is>
      </c>
      <c r="G14" t="inlineStr">
        <is>
          <t>Mathematica analysis of the Quality Measure Reporting (QMR) system reports for the 2023 Core Set as of May 16, 2024.</t>
        </is>
      </c>
      <c r="H14"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s="4" t="n">
        <v>0.609</v>
      </c>
      <c r="J14" s="4" t="n">
        <v>0.585</v>
      </c>
      <c r="K14" s="4" t="n">
        <v>0.863</v>
      </c>
      <c r="L14" s="4" t="n">
        <v>0.358</v>
      </c>
      <c r="M14" s="4" t="n">
        <v>0.5610000000000001</v>
      </c>
      <c r="N14" s="4" t="n">
        <v>0.653</v>
      </c>
    </row>
    <row r="15">
      <c r="A15" t="inlineStr">
        <is>
          <t>Total (Ages 19 to 64)</t>
        </is>
      </c>
      <c r="B15" t="n">
        <v>2024</v>
      </c>
      <c r="C15" t="inlineStr">
        <is>
          <t>Medicaid (Title XIX), Title XXI-funded Medicaid Expansion CHIP</t>
        </is>
      </c>
      <c r="D15" t="inlineStr">
        <is>
          <t>Administrative</t>
        </is>
      </c>
      <c r="E15" t="inlineStr">
        <is>
          <t>Percentage with Persistent Asthma who had a Ratio of Controller Medications to Total Asthma Medications of 0.50 or Greater: Ages 19 to 64</t>
        </is>
      </c>
      <c r="F15" t="inlineStr">
        <is>
          <t>Higher values are better</t>
        </is>
      </c>
      <c r="G15" t="inlineStr">
        <is>
          <t>Mathematica analysis of the Quality Measure Reporting (QMR) system reports for the 2024 Core Set as of April 28, 2025.</t>
        </is>
      </c>
      <c r="H15"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s="4" t="n">
        <v>0.641</v>
      </c>
      <c r="J15" s="4" t="n">
        <v>0.621</v>
      </c>
      <c r="K15" s="4" t="n">
        <v>0.883</v>
      </c>
      <c r="L15" s="4" t="n">
        <v>0.407</v>
      </c>
      <c r="M15" s="4" t="n">
        <v>0.556</v>
      </c>
      <c r="N15" s="4" t="n">
        <v>0.6879999999999999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Avoidance of Antibiotic Treatment for Acute Bronchitis/Bronchiolitis: Ages 3 Months to 17 Years (AAB-CH)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2023</v>
      </c>
      <c r="B4" t="inlineStr">
        <is>
          <t>Medicaid only</t>
        </is>
      </c>
      <c r="C4" t="inlineStr">
        <is>
          <t>Administrative</t>
        </is>
      </c>
      <c r="D4" t="inlineStr">
        <is>
          <t>Percentage of Episodes for Beneficiaries with a Diagnosis of Acute Bronchitis/Bronchiolitis that did not Result in an Antibiotic Dispensing Event: Ages 3 Months to 17 Years</t>
        </is>
      </c>
      <c r="E4" t="inlineStr">
        <is>
          <t>Higher values are better</t>
        </is>
      </c>
      <c r="F4" t="inlineStr">
        <is>
          <t>Mathematica analysis of the Quality Measure Reporting (QMR) system reports for the 2023 Core Set as of May 16, 2024.</t>
        </is>
      </c>
      <c r="G4"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4" t="n">
        <v>0.6830000000000001</v>
      </c>
      <c r="I4" s="4" t="n">
        <v>0.714</v>
      </c>
      <c r="J4" s="4" t="n">
        <v>0.952</v>
      </c>
      <c r="K4" s="4" t="n">
        <v>0.276</v>
      </c>
      <c r="L4" s="4" t="n">
        <v>0.64</v>
      </c>
      <c r="M4" s="4" t="n">
        <v>0.819</v>
      </c>
    </row>
    <row r="5">
      <c r="A5" t="n">
        <v>2023</v>
      </c>
      <c r="B5" t="inlineStr">
        <is>
          <t>CHIP only</t>
        </is>
      </c>
      <c r="C5" t="inlineStr">
        <is>
          <t>Administrative</t>
        </is>
      </c>
      <c r="D5" t="inlineStr">
        <is>
          <t>Percentage of Episodes for Beneficiaries with a Diagnosis of Acute Bronchitis/Bronchiolitis that did not Result in an Antibiotic Dispensing Event: Ages 3 Months to 17 Years</t>
        </is>
      </c>
      <c r="E5" t="inlineStr">
        <is>
          <t>Higher values are better</t>
        </is>
      </c>
      <c r="F5" t="inlineStr">
        <is>
          <t>Mathematica analysis of the Quality Measure Reporting (QMR) system reports for the 2023 Core Set as of May 16, 2024.</t>
        </is>
      </c>
      <c r="G5"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4" t="n">
        <v>0.511</v>
      </c>
      <c r="I5" s="4" t="n">
        <v>0.714</v>
      </c>
      <c r="J5" s="4" t="n">
        <v>0.952</v>
      </c>
      <c r="K5" s="4" t="n">
        <v>0.276</v>
      </c>
      <c r="L5" s="4" t="n">
        <v>0.64</v>
      </c>
      <c r="M5" s="4" t="n">
        <v>0.819</v>
      </c>
    </row>
    <row r="6">
      <c r="A6" t="n">
        <v>2024</v>
      </c>
      <c r="B6" t="inlineStr">
        <is>
          <t>Medicaid (Title XIX), Title XXI-funded Medicaid Expansion CHIP, Separate CHIP (Title XXI)</t>
        </is>
      </c>
      <c r="C6" t="inlineStr">
        <is>
          <t>Administrative</t>
        </is>
      </c>
      <c r="D6" t="inlineStr">
        <is>
          <t>Percentage of Episodes for Beneficiaries with a Diagnosis of Acute Bronchitis/Bronchiolitis that did not Result in an Antibiotic Dispensing Event: Ages 3 Months to 17 Years</t>
        </is>
      </c>
      <c r="E6" t="inlineStr">
        <is>
          <t>Higher values are better</t>
        </is>
      </c>
      <c r="F6" t="inlineStr">
        <is>
          <t>Mathematica analysis of the Quality Measure Reporting (QMR) system reports for the 2024 Core Set as of April 28, 2025.</t>
        </is>
      </c>
      <c r="G6" t="inlineStr">
        <is>
          <t>State-specific comments: Rate combines the Medicaid and separate CHIP data reported by the state in the QMR system. See Medicaid and separate CHIP state-specific comments for information about the data reported for each population.</t>
        </is>
      </c>
      <c r="H6" s="4" t="n">
        <v>0.6860000000000001</v>
      </c>
      <c r="I6" s="4" t="n">
        <v>0.721</v>
      </c>
      <c r="J6" s="4" t="n">
        <v>0.994</v>
      </c>
      <c r="K6" s="4" t="n">
        <v>0.1</v>
      </c>
      <c r="L6" s="4" t="n">
        <v>0.654</v>
      </c>
      <c r="M6" s="4" t="n">
        <v>0.831</v>
      </c>
    </row>
    <row r="7">
      <c r="A7" t="n">
        <v>2024</v>
      </c>
      <c r="B7" t="inlineStr">
        <is>
          <t>Medicaid (Title XIX), Title XXI-funded Medicaid Expansion CHIP</t>
        </is>
      </c>
      <c r="C7" t="inlineStr">
        <is>
          <t>Administrative</t>
        </is>
      </c>
      <c r="D7" t="inlineStr">
        <is>
          <t>Percentage of Episodes for Beneficiaries with a Diagnosis of Acute Bronchitis/Bronchiolitis that did not Result in an Antibiotic Dispensing Event: Ages 3 Months to 17 Years</t>
        </is>
      </c>
      <c r="E7" t="inlineStr">
        <is>
          <t>Higher values are better</t>
        </is>
      </c>
      <c r="F7" t="inlineStr">
        <is>
          <t>Mathematica analysis of the Quality Measure Reporting (QMR) system reports for the 2024 Core Set as of April 28, 2025.</t>
        </is>
      </c>
      <c r="G7"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s="4" t="n">
        <v>0.6870000000000001</v>
      </c>
      <c r="I7" s="4" t="n">
        <v>0.721</v>
      </c>
      <c r="J7" s="4" t="n">
        <v>0.994</v>
      </c>
      <c r="K7" s="4" t="n">
        <v>0.1</v>
      </c>
      <c r="L7" s="4" t="n">
        <v>0.654</v>
      </c>
      <c r="M7" s="4" t="n">
        <v>0.831</v>
      </c>
    </row>
    <row r="8">
      <c r="A8" t="n">
        <v>2024</v>
      </c>
      <c r="B8" t="inlineStr">
        <is>
          <t>Separate CHIP (Title XXI)</t>
        </is>
      </c>
      <c r="C8" t="inlineStr">
        <is>
          <t>Administrative</t>
        </is>
      </c>
      <c r="D8" t="inlineStr">
        <is>
          <t>Percentage of Episodes for Beneficiaries with a Diagnosis of Acute Bronchitis/Bronchiolitis that did not Result in an Antibiotic Dispensing Event: Ages 3 Months to 17 Years</t>
        </is>
      </c>
      <c r="E8" t="inlineStr">
        <is>
          <t>Higher values are better</t>
        </is>
      </c>
      <c r="F8" t="inlineStr">
        <is>
          <t>Mathematica analysis of the Quality Measure Reporting (QMR) system reports for the 2024 Core Set as of April 28, 2025.</t>
        </is>
      </c>
      <c r="G8" t="inlineStr">
        <is>
          <t>State-specific comments: Separate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8" s="4" t="n">
        <v>0.507</v>
      </c>
      <c r="I8" s="4" t="n">
        <v>0.721</v>
      </c>
      <c r="J8" s="4" t="n">
        <v>0.994</v>
      </c>
      <c r="K8" s="4" t="n">
        <v>0.1</v>
      </c>
      <c r="L8" s="4" t="n">
        <v>0.654</v>
      </c>
      <c r="M8" s="4" t="n">
        <v>0.831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Avoidance of Antibiotic Treatment for Acute Bronchitis/Bronchiolitis: Age 18 and Older (AAB-AD)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2022</v>
      </c>
      <c r="B4" t="inlineStr">
        <is>
          <t>Medicaid</t>
        </is>
      </c>
      <c r="C4" t="inlineStr">
        <is>
          <t>Administrative</t>
        </is>
      </c>
      <c r="D4" t="inlineStr">
        <is>
          <t>Percentage of Episodes for Beneficiaries with a Diagnosis of Acute Bronchitis/Bronchiolitis that did not Result in an Antibiotic Dispensing Event: Ages 18 to 64</t>
        </is>
      </c>
      <c r="E4" t="inlineStr">
        <is>
          <t>Higher values are better</t>
        </is>
      </c>
      <c r="F4" t="inlineStr">
        <is>
          <t>Mathematica analysis of the Quality Measure Reporting (QMR) system reports for the FFY 2022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4" t="n">
        <v>0.436</v>
      </c>
      <c r="I4" s="4" t="n">
        <v>0.433</v>
      </c>
      <c r="J4" s="4" t="n">
        <v>0.856</v>
      </c>
      <c r="K4" s="4" t="n">
        <v>0.316</v>
      </c>
      <c r="L4" s="4" t="n">
        <v>0.401</v>
      </c>
      <c r="M4" s="4" t="n">
        <v>0.544</v>
      </c>
    </row>
    <row r="5">
      <c r="A5" t="n">
        <v>2023</v>
      </c>
      <c r="B5" t="inlineStr">
        <is>
          <t>Medicaid</t>
        </is>
      </c>
      <c r="C5" t="inlineStr">
        <is>
          <t>Administrative</t>
        </is>
      </c>
      <c r="D5" t="inlineStr">
        <is>
          <t>Percentage of Episodes for Beneficiaries with a Diagnosis of Acute Bronchitis/Bronchiolitis that did not Result in an Antibiotic Dispensing Event: Ages 18 to 64</t>
        </is>
      </c>
      <c r="E5" t="inlineStr">
        <is>
          <t>Higher values are better</t>
        </is>
      </c>
      <c r="F5" t="inlineStr">
        <is>
          <t>Mathematica analysis of the Quality Measure Reporting (QMR) system reports for the 2023 Core Set as of May 16, 2024.</t>
        </is>
      </c>
      <c r="G5"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4" t="n">
        <v>0.423</v>
      </c>
      <c r="I5" s="4" t="n">
        <v>0.436</v>
      </c>
      <c r="J5" s="4" t="n">
        <v>0.857</v>
      </c>
      <c r="K5" s="4" t="n">
        <v>0.327</v>
      </c>
      <c r="L5" s="4" t="n">
        <v>0.403</v>
      </c>
      <c r="M5" s="4" t="n">
        <v>0.539</v>
      </c>
    </row>
    <row r="6">
      <c r="A6" t="n">
        <v>2024</v>
      </c>
      <c r="B6" t="inlineStr">
        <is>
          <t>Medicaid (Title XIX), Title XXI-funded Medicaid Expansion CHIP</t>
        </is>
      </c>
      <c r="C6" t="inlineStr">
        <is>
          <t>Administrative</t>
        </is>
      </c>
      <c r="D6" t="inlineStr">
        <is>
          <t>Percentage of Episodes for Beneficiaries with a Diagnosis of Acute Bronchitis/Bronchiolitis that did not Result in an Antibiotic Dispensing Event: Ages 18 to 64</t>
        </is>
      </c>
      <c r="E6" t="inlineStr">
        <is>
          <t>Higher values are better</t>
        </is>
      </c>
      <c r="F6" t="inlineStr">
        <is>
          <t>Mathematica analysis of the Quality Measure Reporting (QMR) system reports for the 2024 Core Set as of April 28, 2025.</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4" t="n">
        <v>0.447</v>
      </c>
      <c r="I6" s="4" t="n">
        <v>0.442</v>
      </c>
      <c r="J6" s="4" t="n">
        <v>0.989</v>
      </c>
      <c r="K6" s="4" t="n">
        <v>0.316</v>
      </c>
      <c r="L6" s="4" t="n">
        <v>0.4</v>
      </c>
      <c r="M6" s="4" t="n">
        <v>0.555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60" customWidth="1" min="2" max="2"/>
    <col width="41"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Breast Cancer Screening: Ages 50 to 74 (BCS-AD)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of Women who had a Mammogram to Screen for Breast Cancer: Ages 50 to 64</t>
        </is>
      </c>
      <c r="E4" t="inlineStr">
        <is>
          <t>Higher values are better</t>
        </is>
      </c>
      <c r="F4" t="inlineStr">
        <is>
          <t>Mathematica analysis of the Quality Measure Reporting (QMR) system reports for the FFY 2021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4" t="n">
        <v>0.465</v>
      </c>
      <c r="I4" s="4" t="n">
        <v>0.504</v>
      </c>
      <c r="J4" s="4" t="n">
        <v>0.667</v>
      </c>
      <c r="K4" s="4" t="n">
        <v>0.333</v>
      </c>
      <c r="L4" s="4" t="n">
        <v>0.455</v>
      </c>
      <c r="M4" s="4" t="n">
        <v>0.553</v>
      </c>
    </row>
    <row r="5">
      <c r="A5" t="n">
        <v>2022</v>
      </c>
      <c r="B5" t="inlineStr">
        <is>
          <t>Medicaid</t>
        </is>
      </c>
      <c r="C5" t="inlineStr">
        <is>
          <t>Administrative</t>
        </is>
      </c>
      <c r="D5" t="inlineStr">
        <is>
          <t>Percentage of Women who had a Mammogram to Screen for Breast Cancer: Ages 50 to 64</t>
        </is>
      </c>
      <c r="E5" t="inlineStr">
        <is>
          <t>Higher values are better</t>
        </is>
      </c>
      <c r="F5" t="inlineStr">
        <is>
          <t>Mathematica analysis of the Quality Measure Reporting (QMR) system reports for the FFY 2022 reporting cycle as of June 1, 2023.</t>
        </is>
      </c>
      <c r="G5"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4" t="n">
        <v>0.44</v>
      </c>
      <c r="I5" s="4" t="n">
        <v>0.488</v>
      </c>
      <c r="J5" s="4" t="n">
        <v>0.634</v>
      </c>
      <c r="K5" s="4" t="n">
        <v>0.312</v>
      </c>
      <c r="L5" s="4" t="n">
        <v>0.436</v>
      </c>
      <c r="M5" s="4" t="n">
        <v>0.54</v>
      </c>
    </row>
    <row r="6">
      <c r="A6" t="n">
        <v>2023</v>
      </c>
      <c r="B6" t="inlineStr">
        <is>
          <t>Medicaid</t>
        </is>
      </c>
      <c r="C6" t="inlineStr">
        <is>
          <t>Administrative</t>
        </is>
      </c>
      <c r="D6" t="inlineStr">
        <is>
          <t>Percentage of Women who had a Mammogram to Screen for Breast Cancer: Ages 50 to 64</t>
        </is>
      </c>
      <c r="E6" t="inlineStr">
        <is>
          <t>Higher values are better</t>
        </is>
      </c>
      <c r="F6" t="inlineStr">
        <is>
          <t>Mathematica analysis of the Quality Measure Reporting (QMR) system reports for the 2023 Core Set as of May 16, 2024.</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4" t="n">
        <v>0.454</v>
      </c>
      <c r="I6" s="4" t="n">
        <v>0.492</v>
      </c>
      <c r="J6" s="4" t="n">
        <v>0.647</v>
      </c>
      <c r="K6" s="4" t="n">
        <v>0.235</v>
      </c>
      <c r="L6" s="4" t="n">
        <v>0.437</v>
      </c>
      <c r="M6" s="4" t="n">
        <v>0.553</v>
      </c>
    </row>
    <row r="7">
      <c r="A7" t="n">
        <v>2024</v>
      </c>
      <c r="B7" t="inlineStr">
        <is>
          <t>Medicaid (Title XIX), Title XXI-funded Medicaid Expansion CHIP</t>
        </is>
      </c>
      <c r="C7" t="inlineStr">
        <is>
          <t>Electronic Clinical Data Systems (ECDS)</t>
        </is>
      </c>
      <c r="D7" t="inlineStr">
        <is>
          <t>Percentage of Women who had a Mammogram to Screen for Breast Cancer: Ages 50 to 64</t>
        </is>
      </c>
      <c r="E7" t="inlineStr">
        <is>
          <t>Higher values are better</t>
        </is>
      </c>
      <c r="F7" t="inlineStr">
        <is>
          <t>Mathematica analysis of the Quality Measure Reporting (QMR) system reports for the 2024 Core Set as of April 28, 2025.</t>
        </is>
      </c>
      <c r="G7" t="inlineStr">
        <is>
          <t>State-specific comments: Rate includes FFS and managed care populations (16 MCOs). Rate was audited or validated.</t>
        </is>
      </c>
      <c r="H7" s="4" t="n">
        <v>0.459</v>
      </c>
      <c r="I7" s="4" t="n">
        <v>0.503</v>
      </c>
      <c r="J7" s="4" t="n">
        <v>0.644</v>
      </c>
      <c r="K7" s="4" t="n">
        <v>0.178</v>
      </c>
      <c r="L7" s="4" t="n">
        <v>0.446</v>
      </c>
      <c r="M7" s="4" t="n">
        <v>0.552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cols>
    <col width="56" customWidth="1" min="1" max="1"/>
    <col width="40" customWidth="1" min="2" max="2"/>
    <col width="13" customWidth="1" min="3" max="3"/>
    <col width="12" customWidth="1" min="4" max="4"/>
    <col width="13" customWidth="1" min="5" max="5"/>
    <col width="60" customWidth="1" min="6" max="6"/>
    <col width="26" customWidth="1" min="7" max="7"/>
    <col width="60" customWidth="1" min="8" max="8"/>
    <col width="60" customWidth="1" min="9" max="9"/>
    <col width="30" customWidth="1" min="10" max="10"/>
    <col width="8" customWidth="1" min="11" max="11"/>
    <col width="9" customWidth="1" min="12" max="12"/>
    <col width="9" customWidth="1" min="13" max="13"/>
    <col width="16" customWidth="1" min="14" max="14"/>
    <col width="16" customWidth="1" min="15" max="15"/>
  </cols>
  <sheetData>
    <row r="1">
      <c r="A1" t="inlineStr">
        <is>
          <t>Measure Name</t>
        </is>
      </c>
      <c r="B1" t="inlineStr">
        <is>
          <t>CAHPS Health Plan Survey 5.1H - Child Version Including Medicaid and Children with Chronic Conditions Supplemental Items: Ages 0 to 17 (CPC-CH)</t>
        </is>
      </c>
    </row>
    <row r="2"/>
    <row r="3">
      <c r="A3" s="1" t="inlineStr">
        <is>
          <t>Rate</t>
        </is>
      </c>
      <c r="B3" s="1" t="inlineStr">
        <is>
          <t>Survey Population</t>
        </is>
      </c>
      <c r="C3" s="1" t="inlineStr">
        <is>
          <t>Data Period</t>
        </is>
      </c>
      <c r="D3" s="1" t="inlineStr">
        <is>
          <t>Population</t>
        </is>
      </c>
      <c r="E3" s="1" t="inlineStr">
        <is>
          <t>Methodology</t>
        </is>
      </c>
      <c r="F3" s="1" t="inlineStr">
        <is>
          <t>Value Type</t>
        </is>
      </c>
      <c r="G3" s="1" t="inlineStr">
        <is>
          <t>Value Directionality</t>
        </is>
      </c>
      <c r="H3" s="1" t="inlineStr">
        <is>
          <t>Analysis Source</t>
        </is>
      </c>
      <c r="I3" s="1" t="inlineStr">
        <is>
          <t>Notes</t>
        </is>
      </c>
      <c r="J3" s="1" t="inlineStr">
        <is>
          <t>Value</t>
        </is>
      </c>
      <c r="K3" s="1" t="inlineStr">
        <is>
          <t>Median</t>
        </is>
      </c>
      <c r="L3" s="1" t="inlineStr">
        <is>
          <t>Maximum</t>
        </is>
      </c>
      <c r="M3" s="1" t="inlineStr">
        <is>
          <t>Minimum</t>
        </is>
      </c>
      <c r="N3" s="1" t="inlineStr">
        <is>
          <t>First quartile</t>
        </is>
      </c>
      <c r="O3" s="1" t="inlineStr">
        <is>
          <t>Third quartile</t>
        </is>
      </c>
    </row>
    <row r="4">
      <c r="A4" t="inlineStr">
        <is>
          <t>Getting Care Quickly Composite</t>
        </is>
      </c>
      <c r="B4" t="inlineStr">
        <is>
          <t>Children with Chronic Conditions (CCC)</t>
        </is>
      </c>
      <c r="C4" t="n">
        <v>2024</v>
      </c>
      <c r="D4" t="inlineStr">
        <is>
          <t>Medicaid</t>
        </is>
      </c>
      <c r="E4" t="inlineStr">
        <is>
          <t>CAHPS 5.1H</t>
        </is>
      </c>
      <c r="F4" t="inlineStr">
        <is>
          <t>Percentage whose Caregiver Selected They "Always" Got Care Quickly, on a Four-Point Scale Ranging from "Never" to "Always":  General Child (GC) Population Ages 0 to 17</t>
        </is>
      </c>
      <c r="G4" t="inlineStr">
        <is>
          <t>Higher values are better</t>
        </is>
      </c>
      <c r="H4" t="inlineStr">
        <is>
          <t>Agency for Healthcare Research and Quality (AHRQ) and CMS analysis of the AHRQ CAHPS Database for the July 2023 to June 2024 data collection period as of January 28, 2025.</t>
        </is>
      </c>
      <c r="I4" t="inlineStr">
        <is>
          <t>State-specific comments: Medicaid rates were calculated using data from the AHRQ CAHPS Database. Rates include managed care population (16 MCOs).</t>
        </is>
      </c>
      <c r="J4" t="inlineStr">
        <is>
          <t>Denominator is less than 100</t>
        </is>
      </c>
      <c r="K4" s="4" t="n">
        <v>0.704</v>
      </c>
      <c r="L4" s="4" t="n">
        <v>0.795</v>
      </c>
      <c r="M4" s="4" t="n">
        <v>0.538</v>
      </c>
      <c r="N4" s="4" t="n">
        <v>0.663</v>
      </c>
      <c r="O4" s="4" t="n">
        <v>0.755</v>
      </c>
    </row>
    <row r="5">
      <c r="A5" t="inlineStr">
        <is>
          <t>Getting Care Quickly Composite</t>
        </is>
      </c>
      <c r="B5" t="inlineStr">
        <is>
          <t>Children with Chronic Conditions (CCC)</t>
        </is>
      </c>
      <c r="C5" t="n">
        <v>2024</v>
      </c>
      <c r="D5" t="inlineStr">
        <is>
          <t>CHIP</t>
        </is>
      </c>
      <c r="E5" t="inlineStr">
        <is>
          <t>CAHPS 5.1H</t>
        </is>
      </c>
      <c r="F5" t="inlineStr">
        <is>
          <t>Percentage whose Caregiver Selected They "Always" Got Care Quickly, on a Four-Point Scale Ranging from "Never" to "Always":  General Child (GC) Population Ages 0 to 17</t>
        </is>
      </c>
      <c r="G5" t="inlineStr">
        <is>
          <t>Higher values are better</t>
        </is>
      </c>
      <c r="H5" t="inlineStr">
        <is>
          <t>Agency for Healthcare Research and Quality (AHRQ) and CMS analysis of the AHRQ CAHPS Database for the July 2023 to June 2024 data collection period as of January 28, 2025.</t>
        </is>
      </c>
      <c r="I5" t="inlineStr">
        <is>
          <t>State-specific comments: CHIP rates were calculated using data from the AHRQ CAHPS Database. Rates include managed care population (15 MCOs).</t>
        </is>
      </c>
      <c r="J5" t="inlineStr">
        <is>
          <t>Denominator is less than 100</t>
        </is>
      </c>
      <c r="K5" s="4" t="n">
        <v>0.704</v>
      </c>
      <c r="L5" s="4" t="n">
        <v>0.795</v>
      </c>
      <c r="M5" s="4" t="n">
        <v>0.538</v>
      </c>
      <c r="N5" s="4" t="n">
        <v>0.663</v>
      </c>
      <c r="O5" s="4" t="n">
        <v>0.755</v>
      </c>
    </row>
    <row r="6">
      <c r="A6" t="inlineStr">
        <is>
          <t>Getting Care Quickly Composite</t>
        </is>
      </c>
      <c r="B6" t="inlineStr">
        <is>
          <t>General Child (GC)</t>
        </is>
      </c>
      <c r="C6" t="n">
        <v>2024</v>
      </c>
      <c r="D6" t="inlineStr">
        <is>
          <t>Medicaid</t>
        </is>
      </c>
      <c r="E6" t="inlineStr">
        <is>
          <t>CAHPS 5.1H</t>
        </is>
      </c>
      <c r="F6" t="inlineStr">
        <is>
          <t>Percentage whose Caregiver Selected They "Always" Got Care Quickly, on a Four-Point Scale Ranging from "Never" to "Always":  General Child (GC) Population Ages 0 to 17</t>
        </is>
      </c>
      <c r="G6" t="inlineStr">
        <is>
          <t>Higher values are better</t>
        </is>
      </c>
      <c r="H6" t="inlineStr">
        <is>
          <t>Agency for Healthcare Research and Quality (AHRQ) and CMS analysis of the AHRQ CAHPS Database for the July 2023 to June 2024 data collection period as of January 28, 2025.</t>
        </is>
      </c>
      <c r="I6" t="inlineStr">
        <is>
          <t>State-specific comments: Medicaid rates were calculated using data from the AHRQ CAHPS Database. Rates include managed care population (16 MCOs).</t>
        </is>
      </c>
      <c r="J6" s="4" t="n">
        <v>0.739</v>
      </c>
      <c r="K6" s="4" t="n">
        <v>0.709</v>
      </c>
      <c r="L6" s="4" t="n">
        <v>0.79</v>
      </c>
      <c r="M6" s="4" t="n">
        <v>0.528</v>
      </c>
      <c r="N6" s="4" t="n">
        <v>0.65</v>
      </c>
      <c r="O6" s="4" t="n">
        <v>0.755</v>
      </c>
    </row>
    <row r="7">
      <c r="A7" t="inlineStr">
        <is>
          <t>Getting Care Quickly Composite</t>
        </is>
      </c>
      <c r="B7" t="inlineStr">
        <is>
          <t>General Child (GC)</t>
        </is>
      </c>
      <c r="C7" t="n">
        <v>2024</v>
      </c>
      <c r="D7" t="inlineStr">
        <is>
          <t>CHIP</t>
        </is>
      </c>
      <c r="E7" t="inlineStr">
        <is>
          <t>CAHPS 5.1H</t>
        </is>
      </c>
      <c r="F7" t="inlineStr">
        <is>
          <t>Percentage whose Caregiver Selected They "Always" Got Care Quickly, on a Four-Point Scale Ranging from "Never" to "Always":  General Child (GC) Population Ages 0 to 17</t>
        </is>
      </c>
      <c r="G7" t="inlineStr">
        <is>
          <t>Higher values are better</t>
        </is>
      </c>
      <c r="H7" t="inlineStr">
        <is>
          <t>Agency for Healthcare Research and Quality (AHRQ) and CMS analysis of the AHRQ CAHPS Database for the July 2023 to June 2024 data collection period as of January 28, 2025.</t>
        </is>
      </c>
      <c r="I7" t="inlineStr">
        <is>
          <t>State-specific comments: CHIP rates were calculated using data from the AHRQ CAHPS Database. Rates include managed care population (15 MCOs).</t>
        </is>
      </c>
      <c r="J7" s="4" t="n">
        <v>0.754</v>
      </c>
      <c r="K7" s="4" t="n">
        <v>0.709</v>
      </c>
      <c r="L7" s="4" t="n">
        <v>0.79</v>
      </c>
      <c r="M7" s="4" t="n">
        <v>0.528</v>
      </c>
      <c r="N7" s="4" t="n">
        <v>0.65</v>
      </c>
      <c r="O7" s="4" t="n">
        <v>0.755</v>
      </c>
    </row>
    <row r="8">
      <c r="A8" t="inlineStr">
        <is>
          <t>Getting Care Quickly Composite</t>
        </is>
      </c>
      <c r="B8" t="inlineStr"/>
      <c r="C8" t="n">
        <v>2023</v>
      </c>
      <c r="D8" t="inlineStr">
        <is>
          <t>Medicaid</t>
        </is>
      </c>
      <c r="E8" t="inlineStr">
        <is>
          <t>CAHPS 5.1H</t>
        </is>
      </c>
      <c r="F8" t="inlineStr">
        <is>
          <t>Percentage whose Caregiver Selected They "Always" Got Care Quickly, on a Four-Point Scale Ranging from "Never" to "Always":  General Child (GC) Population Ages 0 to 17</t>
        </is>
      </c>
      <c r="G8" t="inlineStr">
        <is>
          <t>Higher values are better</t>
        </is>
      </c>
      <c r="H8" t="inlineStr">
        <is>
          <t>Agency for Healthcare Research and Quality (AHRQ) and CMS analysis of the AHRQ CAHPS Database for the July 2022 to June 2023 data collection period as of January 24, 2024.</t>
        </is>
      </c>
      <c r="I8" t="inlineStr">
        <is>
          <t>State-specific comments: Medicaid rates were calculated using data from the AHRQ CAHPS Database. Rates include managed care population (16 MCOs).</t>
        </is>
      </c>
      <c r="J8" s="4" t="n">
        <v>0.708</v>
      </c>
      <c r="K8" s="4" t="n">
        <v>0.709</v>
      </c>
      <c r="L8" s="4" t="n">
        <v>0.8179999999999999</v>
      </c>
      <c r="M8" s="4" t="n">
        <v>0.554</v>
      </c>
      <c r="N8" s="4" t="n">
        <v>0.641</v>
      </c>
      <c r="O8" s="4" t="n">
        <v>0.744</v>
      </c>
    </row>
    <row r="9">
      <c r="A9" t="inlineStr">
        <is>
          <t>Getting Care Quickly Composite</t>
        </is>
      </c>
      <c r="B9" t="inlineStr"/>
      <c r="C9" t="n">
        <v>2023</v>
      </c>
      <c r="D9" t="inlineStr">
        <is>
          <t>CHIP</t>
        </is>
      </c>
      <c r="E9" t="inlineStr">
        <is>
          <t>CAHPS 5.1H</t>
        </is>
      </c>
      <c r="F9" t="inlineStr">
        <is>
          <t>Percentage whose Caregiver Selected They "Always" Got Care Quickly, on a Four-Point Scale Ranging from "Never" to "Always":  General Child (GC) Population Ages 0 to 17</t>
        </is>
      </c>
      <c r="G9" t="inlineStr">
        <is>
          <t>Higher values are better</t>
        </is>
      </c>
      <c r="H9" t="inlineStr">
        <is>
          <t>Agency for Healthcare Research and Quality (AHRQ) and CMS analysis of the AHRQ CAHPS Database for the July 2022 to June 2023 data collection period as of January 24, 2024.</t>
        </is>
      </c>
      <c r="I9" t="inlineStr">
        <is>
          <t>State-specific comments: CHIP rates were calculated using data from the AHRQ CAHPS Database. Rates include managed care population (15 MCOs).</t>
        </is>
      </c>
      <c r="J9" s="4" t="n">
        <v>0.718</v>
      </c>
      <c r="K9" s="4" t="n">
        <v>0.709</v>
      </c>
      <c r="L9" s="4" t="n">
        <v>0.8179999999999999</v>
      </c>
      <c r="M9" s="4" t="n">
        <v>0.554</v>
      </c>
      <c r="N9" s="4" t="n">
        <v>0.641</v>
      </c>
      <c r="O9" s="4" t="n">
        <v>0.744</v>
      </c>
    </row>
    <row r="10">
      <c r="A10" t="inlineStr">
        <is>
          <t>Getting Needed Care Composite</t>
        </is>
      </c>
      <c r="B10" t="inlineStr">
        <is>
          <t>Children with Chronic Conditions (CCC)</t>
        </is>
      </c>
      <c r="C10" t="n">
        <v>2024</v>
      </c>
      <c r="D10" t="inlineStr">
        <is>
          <t>Medicaid</t>
        </is>
      </c>
      <c r="E10" t="inlineStr">
        <is>
          <t>CAHPS 5.1H</t>
        </is>
      </c>
      <c r="F10" t="inlineStr">
        <is>
          <t>Percentage whose Caregiver Selected They "Always" Got Needed Care, on a Four-Point Scale Ranging from "Never" to "Always": General Child (GC) Population Ages 0 to 17</t>
        </is>
      </c>
      <c r="G10" t="inlineStr">
        <is>
          <t>Higher values are better</t>
        </is>
      </c>
      <c r="H10" t="inlineStr">
        <is>
          <t>Agency for Healthcare Research and Quality (AHRQ) and CMS analysis of the AHRQ CAHPS Database for the July 2023 to June 2024 data collection period as of January 28, 2025.</t>
        </is>
      </c>
      <c r="I10" t="inlineStr">
        <is>
          <t>State-specific comments: Medicaid rates were calculated using data from the AHRQ CAHPS Database. Rates include managed care population (16 MCOs).</t>
        </is>
      </c>
      <c r="J10" t="inlineStr">
        <is>
          <t>Denominator is less than 100</t>
        </is>
      </c>
      <c r="K10" s="4" t="n">
        <v>0.5590000000000001</v>
      </c>
      <c r="L10" s="4" t="n">
        <v>0.726</v>
      </c>
      <c r="M10" s="4" t="n">
        <v>0.402</v>
      </c>
      <c r="N10" s="4" t="n">
        <v>0.525</v>
      </c>
      <c r="O10" s="4" t="n">
        <v>0.623</v>
      </c>
    </row>
    <row r="11">
      <c r="A11" t="inlineStr">
        <is>
          <t>Getting Needed Care Composite</t>
        </is>
      </c>
      <c r="B11" t="inlineStr">
        <is>
          <t>Children with Chronic Conditions (CCC)</t>
        </is>
      </c>
      <c r="C11" t="n">
        <v>2024</v>
      </c>
      <c r="D11" t="inlineStr">
        <is>
          <t>CHIP</t>
        </is>
      </c>
      <c r="E11" t="inlineStr">
        <is>
          <t>CAHPS 5.1H</t>
        </is>
      </c>
      <c r="F11" t="inlineStr">
        <is>
          <t>Percentage whose Caregiver Selected They "Always" Got Needed Care, on a Four-Point Scale Ranging from "Never" to "Always": General Child (GC) Population Ages 0 to 17</t>
        </is>
      </c>
      <c r="G11" t="inlineStr">
        <is>
          <t>Higher values are better</t>
        </is>
      </c>
      <c r="H11" t="inlineStr">
        <is>
          <t>Agency for Healthcare Research and Quality (AHRQ) and CMS analysis of the AHRQ CAHPS Database for the July 2023 to June 2024 data collection period as of January 28, 2025.</t>
        </is>
      </c>
      <c r="I11" t="inlineStr">
        <is>
          <t>State-specific comments: CHIP rates were calculated using data from the AHRQ CAHPS Database. Rates include managed care population (15 MCOs).</t>
        </is>
      </c>
      <c r="J11" t="inlineStr">
        <is>
          <t>Denominator is less than 100</t>
        </is>
      </c>
      <c r="K11" s="4" t="n">
        <v>0.5590000000000001</v>
      </c>
      <c r="L11" s="4" t="n">
        <v>0.726</v>
      </c>
      <c r="M11" s="4" t="n">
        <v>0.402</v>
      </c>
      <c r="N11" s="4" t="n">
        <v>0.525</v>
      </c>
      <c r="O11" s="4" t="n">
        <v>0.623</v>
      </c>
    </row>
    <row r="12">
      <c r="A12" t="inlineStr">
        <is>
          <t>Getting Needed Care Composite</t>
        </is>
      </c>
      <c r="B12" t="inlineStr">
        <is>
          <t>General Child (GC)</t>
        </is>
      </c>
      <c r="C12" t="n">
        <v>2024</v>
      </c>
      <c r="D12" t="inlineStr">
        <is>
          <t>Medicaid</t>
        </is>
      </c>
      <c r="E12" t="inlineStr">
        <is>
          <t>CAHPS 5.1H</t>
        </is>
      </c>
      <c r="F12" t="inlineStr">
        <is>
          <t>Percentage whose Caregiver Selected They "Always" Got Needed Care, on a Four-Point Scale Ranging from "Never" to "Always": General Child (GC) Population Ages 0 to 17</t>
        </is>
      </c>
      <c r="G12" t="inlineStr">
        <is>
          <t>Higher values are better</t>
        </is>
      </c>
      <c r="H12" t="inlineStr">
        <is>
          <t>Agency for Healthcare Research and Quality (AHRQ) and CMS analysis of the AHRQ CAHPS Database for the July 2023 to June 2024 data collection period as of January 28, 2025.</t>
        </is>
      </c>
      <c r="I12" t="inlineStr">
        <is>
          <t>State-specific comments: Medicaid rates were calculated using data from the AHRQ CAHPS Database. Rates include managed care population (16 MCOs).</t>
        </is>
      </c>
      <c r="J12" s="4" t="n">
        <v>0.627</v>
      </c>
      <c r="K12" s="4" t="n">
        <v>0.599</v>
      </c>
      <c r="L12" s="4" t="n">
        <v>0.728</v>
      </c>
      <c r="M12" s="4" t="n">
        <v>0.461</v>
      </c>
      <c r="N12" s="4" t="n">
        <v>0.554</v>
      </c>
      <c r="O12" s="4" t="n">
        <v>0.639</v>
      </c>
    </row>
    <row r="13">
      <c r="A13" t="inlineStr">
        <is>
          <t>Getting Needed Care Composite</t>
        </is>
      </c>
      <c r="B13" t="inlineStr">
        <is>
          <t>General Child (GC)</t>
        </is>
      </c>
      <c r="C13" t="n">
        <v>2024</v>
      </c>
      <c r="D13" t="inlineStr">
        <is>
          <t>CHIP</t>
        </is>
      </c>
      <c r="E13" t="inlineStr">
        <is>
          <t>CAHPS 5.1H</t>
        </is>
      </c>
      <c r="F13" t="inlineStr">
        <is>
          <t>Percentage whose Caregiver Selected They "Always" Got Needed Care, on a Four-Point Scale Ranging from "Never" to "Always": General Child (GC) Population Ages 0 to 17</t>
        </is>
      </c>
      <c r="G13" t="inlineStr">
        <is>
          <t>Higher values are better</t>
        </is>
      </c>
      <c r="H13" t="inlineStr">
        <is>
          <t>Agency for Healthcare Research and Quality (AHRQ) and CMS analysis of the AHRQ CAHPS Database for the July 2023 to June 2024 data collection period as of January 28, 2025.</t>
        </is>
      </c>
      <c r="I13" t="inlineStr">
        <is>
          <t>State-specific comments: CHIP rates were calculated using data from the AHRQ CAHPS Database. Rates include managed care population (15 MCOs).</t>
        </is>
      </c>
      <c r="J13" s="4" t="n">
        <v>0.754</v>
      </c>
      <c r="K13" s="4" t="n">
        <v>0.599</v>
      </c>
      <c r="L13" s="4" t="n">
        <v>0.728</v>
      </c>
      <c r="M13" s="4" t="n">
        <v>0.461</v>
      </c>
      <c r="N13" s="4" t="n">
        <v>0.554</v>
      </c>
      <c r="O13" s="4" t="n">
        <v>0.639</v>
      </c>
    </row>
    <row r="14">
      <c r="A14" t="inlineStr">
        <is>
          <t>Getting Needed Care Composite</t>
        </is>
      </c>
      <c r="B14" t="inlineStr"/>
      <c r="C14" t="n">
        <v>2023</v>
      </c>
      <c r="D14" t="inlineStr">
        <is>
          <t>Medicaid</t>
        </is>
      </c>
      <c r="E14" t="inlineStr">
        <is>
          <t>CAHPS 5.1H</t>
        </is>
      </c>
      <c r="F14" t="inlineStr">
        <is>
          <t>Percentage whose Caregiver Selected They "Always" Got Needed Care, on a Four-Point Scale Ranging from "Never" to "Always": General Child (GC) Population Ages 0 to 17</t>
        </is>
      </c>
      <c r="G14" t="inlineStr">
        <is>
          <t>Higher values are better</t>
        </is>
      </c>
      <c r="H14" t="inlineStr">
        <is>
          <t>Agency for Healthcare Research and Quality (AHRQ) and CMS analysis of the AHRQ CAHPS Database for the July 2022 to June 2023 data collection period as of January 24, 2024.</t>
        </is>
      </c>
      <c r="I14" t="inlineStr">
        <is>
          <t>State-specific comments: Medicaid rates were calculated using data from the AHRQ CAHPS Database. Rates include managed care population (16 MCOs).</t>
        </is>
      </c>
      <c r="J14" s="4" t="n">
        <v>0.6870000000000001</v>
      </c>
      <c r="K14" s="4" t="n">
        <v>0.605</v>
      </c>
      <c r="L14" s="4" t="n">
        <v>0.724</v>
      </c>
      <c r="M14" s="4" t="n">
        <v>0.441</v>
      </c>
      <c r="N14" s="4" t="n">
        <v>0.542</v>
      </c>
      <c r="O14" s="4" t="n">
        <v>0.647</v>
      </c>
    </row>
    <row r="15">
      <c r="A15" t="inlineStr">
        <is>
          <t>Getting Needed Care Composite</t>
        </is>
      </c>
      <c r="B15" t="inlineStr"/>
      <c r="C15" t="n">
        <v>2023</v>
      </c>
      <c r="D15" t="inlineStr">
        <is>
          <t>CHIP</t>
        </is>
      </c>
      <c r="E15" t="inlineStr">
        <is>
          <t>CAHPS 5.1H</t>
        </is>
      </c>
      <c r="F15" t="inlineStr">
        <is>
          <t>Percentage whose Caregiver Selected They "Always" Got Needed Care, on a Four-Point Scale Ranging from "Never" to "Always": General Child (GC) Population Ages 0 to 17</t>
        </is>
      </c>
      <c r="G15" t="inlineStr">
        <is>
          <t>Higher values are better</t>
        </is>
      </c>
      <c r="H15" t="inlineStr">
        <is>
          <t>Agency for Healthcare Research and Quality (AHRQ) and CMS analysis of the AHRQ CAHPS Database for the July 2022 to June 2023 data collection period as of January 24, 2024.</t>
        </is>
      </c>
      <c r="I15" t="inlineStr">
        <is>
          <t>State-specific comments: CHIP rates were calculated using data from the AHRQ CAHPS Database. Rates include managed care population (15 MCOs).</t>
        </is>
      </c>
      <c r="J15" s="4" t="n">
        <v>0.613</v>
      </c>
      <c r="K15" s="4" t="n">
        <v>0.605</v>
      </c>
      <c r="L15" s="4" t="n">
        <v>0.724</v>
      </c>
      <c r="M15" s="4" t="n">
        <v>0.441</v>
      </c>
      <c r="N15" s="4" t="n">
        <v>0.542</v>
      </c>
      <c r="O15" s="4" t="n">
        <v>0.647</v>
      </c>
    </row>
    <row r="16">
      <c r="A16" t="inlineStr">
        <is>
          <t>Health Plan Information and Customer Service Composite</t>
        </is>
      </c>
      <c r="B16" t="inlineStr">
        <is>
          <t>General Child (GC)</t>
        </is>
      </c>
      <c r="C16" t="n">
        <v>2024</v>
      </c>
      <c r="D16" t="inlineStr">
        <is>
          <t>Medicaid</t>
        </is>
      </c>
      <c r="E16" t="inlineStr">
        <is>
          <t>CAHPS 5.1H</t>
        </is>
      </c>
      <c r="F16" t="inlineStr">
        <is>
          <t>Percentage whose Caregiver Selected Their Health Plan Customer Service "Always" Gave Helpful Information and Was Courteous and Respectful, on a Four-Point Scale Ranging from "Never" to "Always": General Child (GC) Population Ages 0 to 17</t>
        </is>
      </c>
      <c r="G16" t="inlineStr">
        <is>
          <t>Higher values are better</t>
        </is>
      </c>
      <c r="H16" t="inlineStr">
        <is>
          <t>Agency for Healthcare Research and Quality (AHRQ) and CMS analysis of the AHRQ CAHPS Database for the July 2023 to June 2024 data collection period as of January 28, 2025.</t>
        </is>
      </c>
      <c r="I16" t="inlineStr">
        <is>
          <t>State-specific comments: Medicaid rates were calculated using data from the AHRQ CAHPS Database. Rates include managed care population (16 MCOs).</t>
        </is>
      </c>
      <c r="J16" t="inlineStr">
        <is>
          <t>Denominator is less than 100</t>
        </is>
      </c>
      <c r="K16" s="4" t="n">
        <v>0.671</v>
      </c>
      <c r="L16" s="4" t="n">
        <v>0.798</v>
      </c>
      <c r="M16" s="4" t="n">
        <v>0.569</v>
      </c>
      <c r="N16" s="4" t="n">
        <v>0.644</v>
      </c>
      <c r="O16" s="4" t="n">
        <v>0.71</v>
      </c>
    </row>
    <row r="17">
      <c r="A17" t="inlineStr">
        <is>
          <t>Health Plan Information and Customer Service Composite</t>
        </is>
      </c>
      <c r="B17" t="inlineStr">
        <is>
          <t>General Child (GC)</t>
        </is>
      </c>
      <c r="C17" t="n">
        <v>2024</v>
      </c>
      <c r="D17" t="inlineStr">
        <is>
          <t>CHIP</t>
        </is>
      </c>
      <c r="E17" t="inlineStr">
        <is>
          <t>CAHPS 5.1H</t>
        </is>
      </c>
      <c r="F17" t="inlineStr">
        <is>
          <t>Percentage whose Caregiver Selected Their Health Plan Customer Service "Always" Gave Helpful Information and Was Courteous and Respectful, on a Four-Point Scale Ranging from "Never" to "Always": General Child (GC) Population Ages 0 to 17</t>
        </is>
      </c>
      <c r="G17" t="inlineStr">
        <is>
          <t>Higher values are better</t>
        </is>
      </c>
      <c r="H17" t="inlineStr">
        <is>
          <t>Agency for Healthcare Research and Quality (AHRQ) and CMS analysis of the AHRQ CAHPS Database for the July 2023 to June 2024 data collection period as of January 28, 2025.</t>
        </is>
      </c>
      <c r="I17" t="inlineStr">
        <is>
          <t>State-specific comments: CHIP rates were calculated using data from the AHRQ CAHPS Database. Rates include managed care population (15 MCOs).</t>
        </is>
      </c>
      <c r="J17" t="inlineStr">
        <is>
          <t>Denominator is less than 100</t>
        </is>
      </c>
      <c r="K17" s="4" t="n">
        <v>0.671</v>
      </c>
      <c r="L17" s="4" t="n">
        <v>0.798</v>
      </c>
      <c r="M17" s="4" t="n">
        <v>0.569</v>
      </c>
      <c r="N17" s="4" t="n">
        <v>0.644</v>
      </c>
      <c r="O17" s="4" t="n">
        <v>0.71</v>
      </c>
    </row>
    <row r="18">
      <c r="A18" t="inlineStr">
        <is>
          <t>Health Plan Information and Customer Service Composite</t>
        </is>
      </c>
      <c r="B18" t="inlineStr"/>
      <c r="C18" t="n">
        <v>2023</v>
      </c>
      <c r="D18" t="inlineStr">
        <is>
          <t>Medicaid</t>
        </is>
      </c>
      <c r="E18" t="inlineStr">
        <is>
          <t>CAHPS 5.1H</t>
        </is>
      </c>
      <c r="F18" t="inlineStr">
        <is>
          <t>Percentage whose Caregiver Selected Their Health Plan Customer Service "Always" Gave Helpful Information and Was Courteous and Respectful, on a Four-Point Scale Ranging from "Never" to "Always": General Child (GC) Population Ages 0 to 17</t>
        </is>
      </c>
      <c r="G18" t="inlineStr">
        <is>
          <t>Higher values are better</t>
        </is>
      </c>
      <c r="H18" t="inlineStr">
        <is>
          <t>Agency for Healthcare Research and Quality (AHRQ) and CMS analysis of the AHRQ CAHPS Database for the July 2022 to June 2023 data collection period as of January 24, 2024.</t>
        </is>
      </c>
      <c r="I18" t="inlineStr">
        <is>
          <t>State-specific comments: Medicaid rates were calculated using data from the AHRQ CAHPS Database. Rates include managed care population (16 MCOs).</t>
        </is>
      </c>
      <c r="J18" s="4" t="n">
        <v>0.787</v>
      </c>
      <c r="K18" s="4" t="n">
        <v>0.6840000000000001</v>
      </c>
      <c r="L18" s="4" t="n">
        <v>0.787</v>
      </c>
      <c r="M18" s="4" t="n">
        <v>0.5570000000000001</v>
      </c>
      <c r="N18" s="4" t="n">
        <v>0.655</v>
      </c>
      <c r="O18" s="4" t="n">
        <v>0.719</v>
      </c>
    </row>
    <row r="19">
      <c r="A19" t="inlineStr">
        <is>
          <t>Health Plan Information and Customer Service Composite</t>
        </is>
      </c>
      <c r="B19" t="inlineStr"/>
      <c r="C19" t="n">
        <v>2023</v>
      </c>
      <c r="D19" t="inlineStr">
        <is>
          <t>CHIP</t>
        </is>
      </c>
      <c r="E19" t="inlineStr">
        <is>
          <t>CAHPS 5.1H</t>
        </is>
      </c>
      <c r="F19" t="inlineStr">
        <is>
          <t>Percentage whose Caregiver Selected Their Health Plan Customer Service "Always" Gave Helpful Information and Was Courteous and Respectful, on a Four-Point Scale Ranging from "Never" to "Always": General Child (GC) Population Ages 0 to 17</t>
        </is>
      </c>
      <c r="G19" t="inlineStr">
        <is>
          <t>Higher values are better</t>
        </is>
      </c>
      <c r="H19" t="inlineStr">
        <is>
          <t>Agency for Healthcare Research and Quality (AHRQ) and CMS analysis of the AHRQ CAHPS Database for the July 2022 to June 2023 data collection period as of January 24, 2024.</t>
        </is>
      </c>
      <c r="I19" t="inlineStr">
        <is>
          <t>State-specific comments: CHIP rates were calculated using data from the AHRQ CAHPS Database. Rates include managed care population (15 MCOs).</t>
        </is>
      </c>
      <c r="J19" s="4" t="n">
        <v>0.781</v>
      </c>
      <c r="K19" s="4" t="n">
        <v>0.6840000000000001</v>
      </c>
      <c r="L19" s="4" t="n">
        <v>0.787</v>
      </c>
      <c r="M19" s="4" t="n">
        <v>0.5570000000000001</v>
      </c>
      <c r="N19" s="4" t="n">
        <v>0.655</v>
      </c>
      <c r="O19" s="4" t="n">
        <v>0.719</v>
      </c>
    </row>
    <row r="20">
      <c r="A20" t="inlineStr">
        <is>
          <t>How Well Doctors Communicate Composite</t>
        </is>
      </c>
      <c r="B20" t="inlineStr">
        <is>
          <t>Children with Chronic Conditions (CCC)</t>
        </is>
      </c>
      <c r="C20" t="n">
        <v>2024</v>
      </c>
      <c r="D20" t="inlineStr">
        <is>
          <t>Medicaid</t>
        </is>
      </c>
      <c r="E20" t="inlineStr">
        <is>
          <t>CAHPS 5.1H</t>
        </is>
      </c>
      <c r="F20" t="inlineStr">
        <is>
          <t>Percentage whose Caregiver Selected that Their Doctor Communicates Well "Always," on a Four-Point Scale Ranging from "Never" to "Always": General Child (GC) Population Ages 0 to 17</t>
        </is>
      </c>
      <c r="G20" t="inlineStr">
        <is>
          <t>Higher values are better</t>
        </is>
      </c>
      <c r="H20" t="inlineStr">
        <is>
          <t>Agency for Healthcare Research and Quality (AHRQ) and CMS analysis of the AHRQ CAHPS Database for the July 2023 to June 2024 data collection period as of January 28, 2025.</t>
        </is>
      </c>
      <c r="I20" t="inlineStr">
        <is>
          <t>State-specific comments: Medicaid rates were calculated using data from the AHRQ CAHPS Database. Rates include managed care population (16 MCOs).</t>
        </is>
      </c>
      <c r="J20" t="inlineStr">
        <is>
          <t>Denominator is less than 100</t>
        </is>
      </c>
      <c r="K20" s="4" t="n">
        <v>0.795</v>
      </c>
      <c r="L20" s="4" t="n">
        <v>0.851</v>
      </c>
      <c r="M20" s="4" t="n">
        <v>0.701</v>
      </c>
      <c r="N20" s="4" t="n">
        <v>0.759</v>
      </c>
      <c r="O20" s="4" t="n">
        <v>0.8139999999999999</v>
      </c>
    </row>
    <row r="21">
      <c r="A21" t="inlineStr">
        <is>
          <t>How Well Doctors Communicate Composite</t>
        </is>
      </c>
      <c r="B21" t="inlineStr">
        <is>
          <t>Children with Chronic Conditions (CCC)</t>
        </is>
      </c>
      <c r="C21" t="n">
        <v>2024</v>
      </c>
      <c r="D21" t="inlineStr">
        <is>
          <t>CHIP</t>
        </is>
      </c>
      <c r="E21" t="inlineStr">
        <is>
          <t>CAHPS 5.1H</t>
        </is>
      </c>
      <c r="F21" t="inlineStr">
        <is>
          <t>Percentage whose Caregiver Selected that Their Doctor Communicates Well "Always," on a Four-Point Scale Ranging from "Never" to "Always": General Child (GC) Population Ages 0 to 17</t>
        </is>
      </c>
      <c r="G21" t="inlineStr">
        <is>
          <t>Higher values are better</t>
        </is>
      </c>
      <c r="H21" t="inlineStr">
        <is>
          <t>Agency for Healthcare Research and Quality (AHRQ) and CMS analysis of the AHRQ CAHPS Database for the July 2023 to June 2024 data collection period as of January 28, 2025.</t>
        </is>
      </c>
      <c r="I21" t="inlineStr">
        <is>
          <t>State-specific comments: CHIP rates were calculated using data from the AHRQ CAHPS Database. Rates include managed care population (15 MCOs).</t>
        </is>
      </c>
      <c r="J21" t="inlineStr">
        <is>
          <t>Denominator is less than 100</t>
        </is>
      </c>
      <c r="K21" s="4" t="n">
        <v>0.795</v>
      </c>
      <c r="L21" s="4" t="n">
        <v>0.851</v>
      </c>
      <c r="M21" s="4" t="n">
        <v>0.701</v>
      </c>
      <c r="N21" s="4" t="n">
        <v>0.759</v>
      </c>
      <c r="O21" s="4" t="n">
        <v>0.8139999999999999</v>
      </c>
    </row>
    <row r="22">
      <c r="A22" t="inlineStr">
        <is>
          <t>How Well Doctors Communicate Composite</t>
        </is>
      </c>
      <c r="B22" t="inlineStr">
        <is>
          <t>General Child (GC)</t>
        </is>
      </c>
      <c r="C22" t="n">
        <v>2024</v>
      </c>
      <c r="D22" t="inlineStr">
        <is>
          <t>Medicaid</t>
        </is>
      </c>
      <c r="E22" t="inlineStr">
        <is>
          <t>CAHPS 5.1H</t>
        </is>
      </c>
      <c r="F22" t="inlineStr">
        <is>
          <t>Percentage whose Caregiver Selected that Their Doctor Communicates Well "Always," on a Four-Point Scale Ranging from "Never" to "Always": General Child (GC) Population Ages 0 to 17</t>
        </is>
      </c>
      <c r="G22" t="inlineStr">
        <is>
          <t>Higher values are better</t>
        </is>
      </c>
      <c r="H22" t="inlineStr">
        <is>
          <t>Agency for Healthcare Research and Quality (AHRQ) and CMS analysis of the AHRQ CAHPS Database for the July 2023 to June 2024 data collection period as of January 28, 2025.</t>
        </is>
      </c>
      <c r="I22" t="inlineStr">
        <is>
          <t>State-specific comments: Medicaid rates were calculated using data from the AHRQ CAHPS Database. Rates include managed care population (16 MCOs).</t>
        </is>
      </c>
      <c r="J22" s="4" t="n">
        <v>0.8080000000000001</v>
      </c>
      <c r="K22" s="4" t="n">
        <v>0.79</v>
      </c>
      <c r="L22" s="4" t="n">
        <v>0.855</v>
      </c>
      <c r="M22" s="4" t="n">
        <v>0.698</v>
      </c>
      <c r="N22" s="4" t="n">
        <v>0.773</v>
      </c>
      <c r="O22" s="4" t="n">
        <v>0.821</v>
      </c>
    </row>
    <row r="23">
      <c r="A23" t="inlineStr">
        <is>
          <t>How Well Doctors Communicate Composite</t>
        </is>
      </c>
      <c r="B23" t="inlineStr">
        <is>
          <t>General Child (GC)</t>
        </is>
      </c>
      <c r="C23" t="n">
        <v>2024</v>
      </c>
      <c r="D23" t="inlineStr">
        <is>
          <t>CHIP</t>
        </is>
      </c>
      <c r="E23" t="inlineStr">
        <is>
          <t>CAHPS 5.1H</t>
        </is>
      </c>
      <c r="F23" t="inlineStr">
        <is>
          <t>Percentage whose Caregiver Selected that Their Doctor Communicates Well "Always," on a Four-Point Scale Ranging from "Never" to "Always": General Child (GC) Population Ages 0 to 17</t>
        </is>
      </c>
      <c r="G23" t="inlineStr">
        <is>
          <t>Higher values are better</t>
        </is>
      </c>
      <c r="H23" t="inlineStr">
        <is>
          <t>Agency for Healthcare Research and Quality (AHRQ) and CMS analysis of the AHRQ CAHPS Database for the July 2023 to June 2024 data collection period as of January 28, 2025.</t>
        </is>
      </c>
      <c r="I23" t="inlineStr">
        <is>
          <t>State-specific comments: CHIP rates were calculated using data from the AHRQ CAHPS Database. Rates include managed care population (15 MCOs).</t>
        </is>
      </c>
      <c r="J23" s="4" t="n">
        <v>0.828</v>
      </c>
      <c r="K23" s="4" t="n">
        <v>0.79</v>
      </c>
      <c r="L23" s="4" t="n">
        <v>0.855</v>
      </c>
      <c r="M23" s="4" t="n">
        <v>0.698</v>
      </c>
      <c r="N23" s="4" t="n">
        <v>0.773</v>
      </c>
      <c r="O23" s="4" t="n">
        <v>0.821</v>
      </c>
    </row>
    <row r="24">
      <c r="A24" t="inlineStr">
        <is>
          <t>How Well Doctors Communicate Composite</t>
        </is>
      </c>
      <c r="B24" t="inlineStr"/>
      <c r="C24" t="n">
        <v>2023</v>
      </c>
      <c r="D24" t="inlineStr">
        <is>
          <t>Medicaid</t>
        </is>
      </c>
      <c r="E24" t="inlineStr">
        <is>
          <t>CAHPS 5.1H</t>
        </is>
      </c>
      <c r="F24" t="inlineStr">
        <is>
          <t>Percentage whose Caregiver Selected that Their Doctor Communicates Well "Always," on a Four-Point Scale Ranging from "Never" to "Always": General Child (GC) Population Ages 0 to 17</t>
        </is>
      </c>
      <c r="G24" t="inlineStr">
        <is>
          <t>Higher values are better</t>
        </is>
      </c>
      <c r="H24" t="inlineStr">
        <is>
          <t>Agency for Healthcare Research and Quality (AHRQ) and CMS analysis of the AHRQ CAHPS Database for the July 2022 to June 2023 data collection period as of January 24, 2024.</t>
        </is>
      </c>
      <c r="I24" t="inlineStr">
        <is>
          <t>State-specific comments: Medicaid rates were calculated using data from the AHRQ CAHPS Database. Rates include managed care population (16 MCOs).</t>
        </is>
      </c>
      <c r="J24" s="4" t="n">
        <v>0.801</v>
      </c>
      <c r="K24" s="4" t="n">
        <v>0.788</v>
      </c>
      <c r="L24" s="4" t="n">
        <v>0.847</v>
      </c>
      <c r="M24" s="4" t="n">
        <v>0.702</v>
      </c>
      <c r="N24" s="4" t="n">
        <v>0.764</v>
      </c>
      <c r="O24" s="4" t="n">
        <v>0.8149999999999999</v>
      </c>
    </row>
    <row r="25">
      <c r="A25" t="inlineStr">
        <is>
          <t>How Well Doctors Communicate Composite</t>
        </is>
      </c>
      <c r="B25" t="inlineStr"/>
      <c r="C25" t="n">
        <v>2023</v>
      </c>
      <c r="D25" t="inlineStr">
        <is>
          <t>CHIP</t>
        </is>
      </c>
      <c r="E25" t="inlineStr">
        <is>
          <t>CAHPS 5.1H</t>
        </is>
      </c>
      <c r="F25" t="inlineStr">
        <is>
          <t>Percentage whose Caregiver Selected that Their Doctor Communicates Well "Always," on a Four-Point Scale Ranging from "Never" to "Always": General Child (GC) Population Ages 0 to 17</t>
        </is>
      </c>
      <c r="G25" t="inlineStr">
        <is>
          <t>Higher values are better</t>
        </is>
      </c>
      <c r="H25" t="inlineStr">
        <is>
          <t>Agency for Healthcare Research and Quality (AHRQ) and CMS analysis of the AHRQ CAHPS Database for the July 2022 to June 2023 data collection period as of January 24, 2024.</t>
        </is>
      </c>
      <c r="I25" t="inlineStr">
        <is>
          <t>State-specific comments: CHIP rates were calculated using data from the AHRQ CAHPS Database. Rates include managed care population (15 MCOs).</t>
        </is>
      </c>
      <c r="J25" s="4" t="n">
        <v>0.823</v>
      </c>
      <c r="K25" s="4" t="n">
        <v>0.788</v>
      </c>
      <c r="L25" s="4" t="n">
        <v>0.847</v>
      </c>
      <c r="M25" s="4" t="n">
        <v>0.702</v>
      </c>
      <c r="N25" s="4" t="n">
        <v>0.764</v>
      </c>
      <c r="O25" s="4" t="n">
        <v>0.8149999999999999</v>
      </c>
    </row>
    <row r="26">
      <c r="A26" t="inlineStr">
        <is>
          <t>Rating of Health Care</t>
        </is>
      </c>
      <c r="B26" t="inlineStr">
        <is>
          <t>Children with Chronic Conditions (CCC)</t>
        </is>
      </c>
      <c r="C26" t="n">
        <v>2024</v>
      </c>
      <c r="D26" t="inlineStr">
        <is>
          <t>Medicaid</t>
        </is>
      </c>
      <c r="E26" t="inlineStr">
        <is>
          <t>CAHPS 5.1H</t>
        </is>
      </c>
      <c r="F26" t="inlineStr">
        <is>
          <t>Percentage whose Caregiver Rated Their Health Care a "9" or "10" on a Scale from 0 to 10, with 10 Representing the Highest Score: General Child (GC) Population Ages 0 to 17</t>
        </is>
      </c>
      <c r="G26" t="inlineStr">
        <is>
          <t>Higher values are better</t>
        </is>
      </c>
      <c r="H26" t="inlineStr">
        <is>
          <t>Agency for Healthcare Research and Quality (AHRQ) and CMS analysis of the AHRQ CAHPS Database for the July 2023 to June 2024 data collection period as of January 28, 2025.</t>
        </is>
      </c>
      <c r="I26" t="inlineStr">
        <is>
          <t>State-specific comments: Medicaid rates were calculated using data from the AHRQ CAHPS Database. Rates include managed care population (16 MCOs).</t>
        </is>
      </c>
      <c r="J26" t="inlineStr">
        <is>
          <t>Denominator is less than 100</t>
        </is>
      </c>
      <c r="K26" s="4" t="n">
        <v>0.665</v>
      </c>
      <c r="L26" s="4" t="n">
        <v>0.745</v>
      </c>
      <c r="M26" s="4" t="n">
        <v>0.543</v>
      </c>
      <c r="N26" s="4" t="n">
        <v>0.625</v>
      </c>
      <c r="O26" s="4" t="n">
        <v>0.6870000000000001</v>
      </c>
    </row>
    <row r="27">
      <c r="A27" t="inlineStr">
        <is>
          <t>Rating of Health Care</t>
        </is>
      </c>
      <c r="B27" t="inlineStr">
        <is>
          <t>Children with Chronic Conditions (CCC)</t>
        </is>
      </c>
      <c r="C27" t="n">
        <v>2024</v>
      </c>
      <c r="D27" t="inlineStr">
        <is>
          <t>CHIP</t>
        </is>
      </c>
      <c r="E27" t="inlineStr">
        <is>
          <t>CAHPS 5.1H</t>
        </is>
      </c>
      <c r="F27" t="inlineStr">
        <is>
          <t>Percentage whose Caregiver Rated Their Health Care a "9" or "10" on a Scale from 0 to 10, with 10 Representing the Highest Score: General Child (GC) Population Ages 0 to 17</t>
        </is>
      </c>
      <c r="G27" t="inlineStr">
        <is>
          <t>Higher values are better</t>
        </is>
      </c>
      <c r="H27" t="inlineStr">
        <is>
          <t>Agency for Healthcare Research and Quality (AHRQ) and CMS analysis of the AHRQ CAHPS Database for the July 2023 to June 2024 data collection period as of January 28, 2025.</t>
        </is>
      </c>
      <c r="I27" t="inlineStr">
        <is>
          <t>State-specific comments: CHIP rates were calculated using data from the AHRQ CAHPS Database. Rates include managed care population (15 MCOs).</t>
        </is>
      </c>
      <c r="J27" t="inlineStr">
        <is>
          <t>Denominator is less than 100</t>
        </is>
      </c>
      <c r="K27" s="4" t="n">
        <v>0.665</v>
      </c>
      <c r="L27" s="4" t="n">
        <v>0.745</v>
      </c>
      <c r="M27" s="4" t="n">
        <v>0.543</v>
      </c>
      <c r="N27" s="4" t="n">
        <v>0.625</v>
      </c>
      <c r="O27" s="4" t="n">
        <v>0.6870000000000001</v>
      </c>
    </row>
    <row r="28">
      <c r="A28" t="inlineStr">
        <is>
          <t>Rating of Health Care</t>
        </is>
      </c>
      <c r="B28" t="inlineStr">
        <is>
          <t>General Child (GC)</t>
        </is>
      </c>
      <c r="C28" t="n">
        <v>2024</v>
      </c>
      <c r="D28" t="inlineStr">
        <is>
          <t>Medicaid</t>
        </is>
      </c>
      <c r="E28" t="inlineStr">
        <is>
          <t>CAHPS 5.1H</t>
        </is>
      </c>
      <c r="F28" t="inlineStr">
        <is>
          <t>Percentage whose Caregiver Rated Their Health Care a "9" or "10" on a Scale from 0 to 10, with 10 Representing the Highest Score: General Child (GC) Population Ages 0 to 17</t>
        </is>
      </c>
      <c r="G28" t="inlineStr">
        <is>
          <t>Higher values are better</t>
        </is>
      </c>
      <c r="H28" t="inlineStr">
        <is>
          <t>Agency for Healthcare Research and Quality (AHRQ) and CMS analysis of the AHRQ CAHPS Database for the July 2023 to June 2024 data collection period as of January 28, 2025.</t>
        </is>
      </c>
      <c r="I28" t="inlineStr">
        <is>
          <t>State-specific comments: Medicaid rates were calculated using data from the AHRQ CAHPS Database. Rates include managed care population (16 MCOs).</t>
        </is>
      </c>
      <c r="J28" s="4" t="n">
        <v>0.747</v>
      </c>
      <c r="K28" s="4" t="n">
        <v>0.698</v>
      </c>
      <c r="L28" s="4" t="n">
        <v>0.8169999999999999</v>
      </c>
      <c r="M28" s="4" t="n">
        <v>0.5669999999999999</v>
      </c>
      <c r="N28" s="4" t="n">
        <v>0.67</v>
      </c>
      <c r="O28" s="4" t="n">
        <v>0.71</v>
      </c>
    </row>
    <row r="29">
      <c r="A29" t="inlineStr">
        <is>
          <t>Rating of Health Care</t>
        </is>
      </c>
      <c r="B29" t="inlineStr">
        <is>
          <t>General Child (GC)</t>
        </is>
      </c>
      <c r="C29" t="n">
        <v>2024</v>
      </c>
      <c r="D29" t="inlineStr">
        <is>
          <t>CHIP</t>
        </is>
      </c>
      <c r="E29" t="inlineStr">
        <is>
          <t>CAHPS 5.1H</t>
        </is>
      </c>
      <c r="F29" t="inlineStr">
        <is>
          <t>Percentage whose Caregiver Rated Their Health Care a "9" or "10" on a Scale from 0 to 10, with 10 Representing the Highest Score: General Child (GC) Population Ages 0 to 17</t>
        </is>
      </c>
      <c r="G29" t="inlineStr">
        <is>
          <t>Higher values are better</t>
        </is>
      </c>
      <c r="H29" t="inlineStr">
        <is>
          <t>Agency for Healthcare Research and Quality (AHRQ) and CMS analysis of the AHRQ CAHPS Database for the July 2023 to June 2024 data collection period as of January 28, 2025.</t>
        </is>
      </c>
      <c r="I29" t="inlineStr">
        <is>
          <t>State-specific comments: CHIP rates were calculated using data from the AHRQ CAHPS Database. Rates include managed care population (15 MCOs).</t>
        </is>
      </c>
      <c r="J29" s="4" t="n">
        <v>0.747</v>
      </c>
      <c r="K29" s="4" t="n">
        <v>0.698</v>
      </c>
      <c r="L29" s="4" t="n">
        <v>0.8169999999999999</v>
      </c>
      <c r="M29" s="4" t="n">
        <v>0.5669999999999999</v>
      </c>
      <c r="N29" s="4" t="n">
        <v>0.67</v>
      </c>
      <c r="O29" s="4" t="n">
        <v>0.71</v>
      </c>
    </row>
    <row r="30">
      <c r="A30" t="inlineStr">
        <is>
          <t>Rating of Health Care</t>
        </is>
      </c>
      <c r="B30" t="inlineStr"/>
      <c r="C30" t="n">
        <v>2023</v>
      </c>
      <c r="D30" t="inlineStr">
        <is>
          <t>Medicaid</t>
        </is>
      </c>
      <c r="E30" t="inlineStr">
        <is>
          <t>CAHPS 5.1H</t>
        </is>
      </c>
      <c r="F30" t="inlineStr">
        <is>
          <t>Percentage whose Caregiver Rated Their Health Care a "9" or "10" on a Scale from 0 to 10, with 10 Representing the Highest Score: General Child (GC) Population Ages 0 to 17</t>
        </is>
      </c>
      <c r="G30" t="inlineStr">
        <is>
          <t>Higher values are better</t>
        </is>
      </c>
      <c r="H30" t="inlineStr">
        <is>
          <t>Agency for Healthcare Research and Quality (AHRQ) and CMS analysis of the AHRQ CAHPS Database for the July 2022 to June 2023 data collection period as of January 24, 2024.</t>
        </is>
      </c>
      <c r="I30" t="inlineStr">
        <is>
          <t>State-specific comments: Medicaid rates were calculated using data from the AHRQ CAHPS Database. Rates include managed care population (16 MCOs).</t>
        </is>
      </c>
      <c r="J30" s="4" t="n">
        <v>0.704</v>
      </c>
      <c r="K30" s="4" t="n">
        <v>0.6820000000000001</v>
      </c>
      <c r="L30" s="4" t="n">
        <v>0.743</v>
      </c>
      <c r="M30" s="4" t="n">
        <v>0.581</v>
      </c>
      <c r="N30" s="4" t="n">
        <v>0.649</v>
      </c>
      <c r="O30" s="4" t="n">
        <v>0.703</v>
      </c>
    </row>
    <row r="31">
      <c r="A31" t="inlineStr">
        <is>
          <t>Rating of Health Care</t>
        </is>
      </c>
      <c r="B31" t="inlineStr"/>
      <c r="C31" t="n">
        <v>2023</v>
      </c>
      <c r="D31" t="inlineStr">
        <is>
          <t>CHIP</t>
        </is>
      </c>
      <c r="E31" t="inlineStr">
        <is>
          <t>CAHPS 5.1H</t>
        </is>
      </c>
      <c r="F31" t="inlineStr">
        <is>
          <t>Percentage whose Caregiver Rated Their Health Care a "9" or "10" on a Scale from 0 to 10, with 10 Representing the Highest Score: General Child (GC) Population Ages 0 to 17</t>
        </is>
      </c>
      <c r="G31" t="inlineStr">
        <is>
          <t>Higher values are better</t>
        </is>
      </c>
      <c r="H31" t="inlineStr">
        <is>
          <t>Agency for Healthcare Research and Quality (AHRQ) and CMS analysis of the AHRQ CAHPS Database for the July 2022 to June 2023 data collection period as of January 24, 2024.</t>
        </is>
      </c>
      <c r="I31" t="inlineStr">
        <is>
          <t>State-specific comments: CHIP rates were calculated using data from the AHRQ CAHPS Database. Rates include managed care population (15 MCOs).</t>
        </is>
      </c>
      <c r="J31" s="4" t="n">
        <v>0.6929999999999999</v>
      </c>
      <c r="K31" s="4" t="n">
        <v>0.6820000000000001</v>
      </c>
      <c r="L31" s="4" t="n">
        <v>0.743</v>
      </c>
      <c r="M31" s="4" t="n">
        <v>0.581</v>
      </c>
      <c r="N31" s="4" t="n">
        <v>0.649</v>
      </c>
      <c r="O31" s="4" t="n">
        <v>0.703</v>
      </c>
    </row>
    <row r="32">
      <c r="A32" t="inlineStr">
        <is>
          <t>Rating of Health Plan</t>
        </is>
      </c>
      <c r="B32" t="inlineStr">
        <is>
          <t>Children with Chronic Conditions (CCC)</t>
        </is>
      </c>
      <c r="C32" t="n">
        <v>2024</v>
      </c>
      <c r="D32" t="inlineStr">
        <is>
          <t>Medicaid</t>
        </is>
      </c>
      <c r="E32" t="inlineStr">
        <is>
          <t>CAHPS 5.1H</t>
        </is>
      </c>
      <c r="F32" t="inlineStr">
        <is>
          <t>Percentage whose Caregiver Rated Their Health Plan a "9" or "10" on a Scale from 0 to 10, with 10 Representing the Highest Score: General Child (GC) Population Ages 0 to 17</t>
        </is>
      </c>
      <c r="G32" t="inlineStr">
        <is>
          <t>Higher values are better</t>
        </is>
      </c>
      <c r="H32" t="inlineStr">
        <is>
          <t>Agency for Healthcare Research and Quality (AHRQ) and CMS analysis of the AHRQ CAHPS Database for the July 2023 to June 2024 data collection period as of January 28, 2025.</t>
        </is>
      </c>
      <c r="I32" t="inlineStr">
        <is>
          <t>State-specific comments: Medicaid rates were calculated using data from the AHRQ CAHPS Database. Rates include managed care population (16 MCOs).</t>
        </is>
      </c>
      <c r="J32" t="inlineStr">
        <is>
          <t>Denominator is less than 100</t>
        </is>
      </c>
      <c r="K32" s="4" t="n">
        <v>0.66</v>
      </c>
      <c r="L32" s="4" t="n">
        <v>0.755</v>
      </c>
      <c r="M32" s="4" t="n">
        <v>0.541</v>
      </c>
      <c r="N32" s="4" t="n">
        <v>0.62</v>
      </c>
      <c r="O32" s="4" t="n">
        <v>0.696</v>
      </c>
    </row>
    <row r="33">
      <c r="A33" t="inlineStr">
        <is>
          <t>Rating of Health Plan</t>
        </is>
      </c>
      <c r="B33" t="inlineStr">
        <is>
          <t>Children with Chronic Conditions (CCC)</t>
        </is>
      </c>
      <c r="C33" t="n">
        <v>2024</v>
      </c>
      <c r="D33" t="inlineStr">
        <is>
          <t>CHIP</t>
        </is>
      </c>
      <c r="E33" t="inlineStr">
        <is>
          <t>CAHPS 5.1H</t>
        </is>
      </c>
      <c r="F33" t="inlineStr">
        <is>
          <t>Percentage whose Caregiver Rated Their Health Plan a "9" or "10" on a Scale from 0 to 10, with 10 Representing the Highest Score: General Child (GC) Population Ages 0 to 17</t>
        </is>
      </c>
      <c r="G33" t="inlineStr">
        <is>
          <t>Higher values are better</t>
        </is>
      </c>
      <c r="H33" t="inlineStr">
        <is>
          <t>Agency for Healthcare Research and Quality (AHRQ) and CMS analysis of the AHRQ CAHPS Database for the July 2023 to June 2024 data collection period as of January 28, 2025.</t>
        </is>
      </c>
      <c r="I33" t="inlineStr">
        <is>
          <t>State-specific comments: CHIP rates were calculated using data from the AHRQ CAHPS Database. Rates include managed care population (15 MCOs).</t>
        </is>
      </c>
      <c r="J33" t="inlineStr">
        <is>
          <t>Denominator is less than 100</t>
        </is>
      </c>
      <c r="K33" s="4" t="n">
        <v>0.66</v>
      </c>
      <c r="L33" s="4" t="n">
        <v>0.755</v>
      </c>
      <c r="M33" s="4" t="n">
        <v>0.541</v>
      </c>
      <c r="N33" s="4" t="n">
        <v>0.62</v>
      </c>
      <c r="O33" s="4" t="n">
        <v>0.696</v>
      </c>
    </row>
    <row r="34">
      <c r="A34" t="inlineStr">
        <is>
          <t>Rating of Health Plan</t>
        </is>
      </c>
      <c r="B34" t="inlineStr">
        <is>
          <t>General Child (GC)</t>
        </is>
      </c>
      <c r="C34" t="n">
        <v>2024</v>
      </c>
      <c r="D34" t="inlineStr">
        <is>
          <t>Medicaid</t>
        </is>
      </c>
      <c r="E34" t="inlineStr">
        <is>
          <t>CAHPS 5.1H</t>
        </is>
      </c>
      <c r="F34" t="inlineStr">
        <is>
          <t>Percentage whose Caregiver Rated Their Health Plan a "9" or "10" on a Scale from 0 to 10, with 10 Representing the Highest Score: General Child (GC) Population Ages 0 to 17</t>
        </is>
      </c>
      <c r="G34" t="inlineStr">
        <is>
          <t>Higher values are better</t>
        </is>
      </c>
      <c r="H34" t="inlineStr">
        <is>
          <t>Agency for Healthcare Research and Quality (AHRQ) and CMS analysis of the AHRQ CAHPS Database for the July 2023 to June 2024 data collection period as of January 28, 2025.</t>
        </is>
      </c>
      <c r="I34" t="inlineStr">
        <is>
          <t>State-specific comments: Medicaid rates were calculated using data from the AHRQ CAHPS Database. Rates include managed care population (16 MCOs).</t>
        </is>
      </c>
      <c r="J34" s="4" t="n">
        <v>0.782</v>
      </c>
      <c r="K34" s="4" t="n">
        <v>0.725</v>
      </c>
      <c r="L34" s="4" t="n">
        <v>0.787</v>
      </c>
      <c r="M34" s="4" t="n">
        <v>0.526</v>
      </c>
      <c r="N34" s="4" t="n">
        <v>0.694</v>
      </c>
      <c r="O34" s="4" t="n">
        <v>0.749</v>
      </c>
    </row>
    <row r="35">
      <c r="A35" t="inlineStr">
        <is>
          <t>Rating of Health Plan</t>
        </is>
      </c>
      <c r="B35" t="inlineStr">
        <is>
          <t>General Child (GC)</t>
        </is>
      </c>
      <c r="C35" t="n">
        <v>2024</v>
      </c>
      <c r="D35" t="inlineStr">
        <is>
          <t>CHIP</t>
        </is>
      </c>
      <c r="E35" t="inlineStr">
        <is>
          <t>CAHPS 5.1H</t>
        </is>
      </c>
      <c r="F35" t="inlineStr">
        <is>
          <t>Percentage whose Caregiver Rated Their Health Plan a "9" or "10" on a Scale from 0 to 10, with 10 Representing the Highest Score: General Child (GC) Population Ages 0 to 17</t>
        </is>
      </c>
      <c r="G35" t="inlineStr">
        <is>
          <t>Higher values are better</t>
        </is>
      </c>
      <c r="H35" t="inlineStr">
        <is>
          <t>Agency for Healthcare Research and Quality (AHRQ) and CMS analysis of the AHRQ CAHPS Database for the July 2023 to June 2024 data collection period as of January 28, 2025.</t>
        </is>
      </c>
      <c r="I35" t="inlineStr">
        <is>
          <t>State-specific comments: CHIP rates were calculated using data from the AHRQ CAHPS Database. Rates include managed care population (15 MCOs).</t>
        </is>
      </c>
      <c r="J35" s="4" t="n">
        <v>0.744</v>
      </c>
      <c r="K35" s="4" t="n">
        <v>0.725</v>
      </c>
      <c r="L35" s="4" t="n">
        <v>0.787</v>
      </c>
      <c r="M35" s="4" t="n">
        <v>0.526</v>
      </c>
      <c r="N35" s="4" t="n">
        <v>0.694</v>
      </c>
      <c r="O35" s="4" t="n">
        <v>0.749</v>
      </c>
    </row>
    <row r="36">
      <c r="A36" t="inlineStr">
        <is>
          <t>Rating of Health Plan</t>
        </is>
      </c>
      <c r="B36" t="inlineStr"/>
      <c r="C36" t="n">
        <v>2023</v>
      </c>
      <c r="D36" t="inlineStr">
        <is>
          <t>Medicaid</t>
        </is>
      </c>
      <c r="E36" t="inlineStr">
        <is>
          <t>CAHPS 5.1H</t>
        </is>
      </c>
      <c r="F36" t="inlineStr">
        <is>
          <t>Percentage whose Caregiver Rated Their Health Plan a "9" or "10" on a Scale from 0 to 10, with 10 Representing the Highest Score: General Child (GC) Population Ages 0 to 17</t>
        </is>
      </c>
      <c r="G36" t="inlineStr">
        <is>
          <t>Higher values are better</t>
        </is>
      </c>
      <c r="H36" t="inlineStr">
        <is>
          <t>Agency for Healthcare Research and Quality (AHRQ) and CMS analysis of the AHRQ CAHPS Database for the July 2022 to June 2023 data collection period as of January 24, 2024.</t>
        </is>
      </c>
      <c r="I36" t="inlineStr">
        <is>
          <t>State-specific comments: Medicaid rates were calculated using data from the AHRQ CAHPS Database. Rates include managed care population (16 MCOs).</t>
        </is>
      </c>
      <c r="J36" s="4" t="n">
        <v>0.783</v>
      </c>
      <c r="K36" s="4" t="n">
        <v>0.718</v>
      </c>
      <c r="L36" s="4" t="n">
        <v>0.787</v>
      </c>
      <c r="M36" s="4" t="n">
        <v>0.538</v>
      </c>
      <c r="N36" s="4" t="n">
        <v>0.6899999999999999</v>
      </c>
      <c r="O36" s="4" t="n">
        <v>0.747</v>
      </c>
    </row>
    <row r="37">
      <c r="A37" t="inlineStr">
        <is>
          <t>Rating of Health Plan</t>
        </is>
      </c>
      <c r="B37" t="inlineStr"/>
      <c r="C37" t="n">
        <v>2023</v>
      </c>
      <c r="D37" t="inlineStr">
        <is>
          <t>CHIP</t>
        </is>
      </c>
      <c r="E37" t="inlineStr">
        <is>
          <t>CAHPS 5.1H</t>
        </is>
      </c>
      <c r="F37" t="inlineStr">
        <is>
          <t>Percentage whose Caregiver Rated Their Health Plan a "9" or "10" on a Scale from 0 to 10, with 10 Representing the Highest Score: General Child (GC) Population Ages 0 to 17</t>
        </is>
      </c>
      <c r="G37" t="inlineStr">
        <is>
          <t>Higher values are better</t>
        </is>
      </c>
      <c r="H37" t="inlineStr">
        <is>
          <t>Agency for Healthcare Research and Quality (AHRQ) and CMS analysis of the AHRQ CAHPS Database for the July 2022 to June 2023 data collection period as of January 24, 2024.</t>
        </is>
      </c>
      <c r="I37" t="inlineStr">
        <is>
          <t>State-specific comments: CHIP rates were calculated using data from the AHRQ CAHPS Database. Rates include managed care population (15 MCOs).</t>
        </is>
      </c>
      <c r="J37" s="4" t="n">
        <v>0.725</v>
      </c>
      <c r="K37" s="4" t="n">
        <v>0.718</v>
      </c>
      <c r="L37" s="4" t="n">
        <v>0.787</v>
      </c>
      <c r="M37" s="4" t="n">
        <v>0.538</v>
      </c>
      <c r="N37" s="4" t="n">
        <v>0.6899999999999999</v>
      </c>
      <c r="O37" s="4" t="n">
        <v>0.747</v>
      </c>
    </row>
    <row r="38">
      <c r="A38" t="inlineStr">
        <is>
          <t>Rating of Personal Doctor</t>
        </is>
      </c>
      <c r="B38" t="inlineStr">
        <is>
          <t>Children with Chronic Conditions (CCC)</t>
        </is>
      </c>
      <c r="C38" t="n">
        <v>2024</v>
      </c>
      <c r="D38" t="inlineStr">
        <is>
          <t>Medicaid</t>
        </is>
      </c>
      <c r="E38" t="inlineStr">
        <is>
          <t>CAHPS 5.1H</t>
        </is>
      </c>
      <c r="F38" t="inlineStr">
        <is>
          <t>Percentage whose Caregiver Rated Their Personal Doctor a "9" or "10" on a Scale from 0 to 10, with 10 Representing the Highest Score: General Child (GC) Population Ages 0 to 17</t>
        </is>
      </c>
      <c r="G38" t="inlineStr">
        <is>
          <t>Higher values are better</t>
        </is>
      </c>
      <c r="H38" t="inlineStr">
        <is>
          <t>Agency for Healthcare Research and Quality (AHRQ) and CMS analysis of the AHRQ CAHPS Database for the July 2023 to June 2024 data collection period as of January 28, 2025.</t>
        </is>
      </c>
      <c r="I38" t="inlineStr">
        <is>
          <t>State-specific comments: Medicaid rates were calculated using data from the AHRQ CAHPS Database. Rates include managed care population (16 MCOs).</t>
        </is>
      </c>
      <c r="J38" t="inlineStr">
        <is>
          <t>Denominator is less than 100</t>
        </is>
      </c>
      <c r="K38" s="4" t="n">
        <v>0.752</v>
      </c>
      <c r="L38" s="4" t="n">
        <v>0.819</v>
      </c>
      <c r="M38" s="4" t="n">
        <v>0.64</v>
      </c>
      <c r="N38" s="4" t="n">
        <v>0.73</v>
      </c>
      <c r="O38" s="4" t="n">
        <v>0.779</v>
      </c>
    </row>
    <row r="39">
      <c r="A39" t="inlineStr">
        <is>
          <t>Rating of Personal Doctor</t>
        </is>
      </c>
      <c r="B39" t="inlineStr">
        <is>
          <t>Children with Chronic Conditions (CCC)</t>
        </is>
      </c>
      <c r="C39" t="n">
        <v>2024</v>
      </c>
      <c r="D39" t="inlineStr">
        <is>
          <t>CHIP</t>
        </is>
      </c>
      <c r="E39" t="inlineStr">
        <is>
          <t>CAHPS 5.1H</t>
        </is>
      </c>
      <c r="F39" t="inlineStr">
        <is>
          <t>Percentage whose Caregiver Rated Their Personal Doctor a "9" or "10" on a Scale from 0 to 10, with 10 Representing the Highest Score: General Child (GC) Population Ages 0 to 17</t>
        </is>
      </c>
      <c r="G39" t="inlineStr">
        <is>
          <t>Higher values are better</t>
        </is>
      </c>
      <c r="H39" t="inlineStr">
        <is>
          <t>Agency for Healthcare Research and Quality (AHRQ) and CMS analysis of the AHRQ CAHPS Database for the July 2023 to June 2024 data collection period as of January 28, 2025.</t>
        </is>
      </c>
      <c r="I39" t="inlineStr">
        <is>
          <t>State-specific comments: CHIP rates were calculated using data from the AHRQ CAHPS Database. Rates include managed care population (15 MCOs).</t>
        </is>
      </c>
      <c r="J39" t="inlineStr">
        <is>
          <t>Denominator is less than 100</t>
        </is>
      </c>
      <c r="K39" s="4" t="n">
        <v>0.752</v>
      </c>
      <c r="L39" s="4" t="n">
        <v>0.819</v>
      </c>
      <c r="M39" s="4" t="n">
        <v>0.64</v>
      </c>
      <c r="N39" s="4" t="n">
        <v>0.73</v>
      </c>
      <c r="O39" s="4" t="n">
        <v>0.779</v>
      </c>
    </row>
    <row r="40">
      <c r="A40" t="inlineStr">
        <is>
          <t>Rating of Personal Doctor</t>
        </is>
      </c>
      <c r="B40" t="inlineStr">
        <is>
          <t>General Child (GC)</t>
        </is>
      </c>
      <c r="C40" t="n">
        <v>2024</v>
      </c>
      <c r="D40" t="inlineStr">
        <is>
          <t>Medicaid</t>
        </is>
      </c>
      <c r="E40" t="inlineStr">
        <is>
          <t>CAHPS 5.1H</t>
        </is>
      </c>
      <c r="F40" t="inlineStr">
        <is>
          <t>Percentage whose Caregiver Rated Their Personal Doctor a "9" or "10" on a Scale from 0 to 10, with 10 Representing the Highest Score: General Child (GC) Population Ages 0 to 17</t>
        </is>
      </c>
      <c r="G40" t="inlineStr">
        <is>
          <t>Higher values are better</t>
        </is>
      </c>
      <c r="H40" t="inlineStr">
        <is>
          <t>Agency for Healthcare Research and Quality (AHRQ) and CMS analysis of the AHRQ CAHPS Database for the July 2023 to June 2024 data collection period as of January 28, 2025.</t>
        </is>
      </c>
      <c r="I40" t="inlineStr">
        <is>
          <t>State-specific comments: Medicaid rates were calculated using data from the AHRQ CAHPS Database. Rates include managed care population (16 MCOs).</t>
        </is>
      </c>
      <c r="J40" s="4" t="n">
        <v>0.787</v>
      </c>
      <c r="K40" s="4" t="n">
        <v>0.771</v>
      </c>
      <c r="L40" s="4" t="n">
        <v>0.833</v>
      </c>
      <c r="M40" s="4" t="n">
        <v>0.672</v>
      </c>
      <c r="N40" s="4" t="n">
        <v>0.743</v>
      </c>
      <c r="O40" s="4" t="n">
        <v>0.791</v>
      </c>
    </row>
    <row r="41">
      <c r="A41" t="inlineStr">
        <is>
          <t>Rating of Personal Doctor</t>
        </is>
      </c>
      <c r="B41" t="inlineStr">
        <is>
          <t>General Child (GC)</t>
        </is>
      </c>
      <c r="C41" t="n">
        <v>2024</v>
      </c>
      <c r="D41" t="inlineStr">
        <is>
          <t>CHIP</t>
        </is>
      </c>
      <c r="E41" t="inlineStr">
        <is>
          <t>CAHPS 5.1H</t>
        </is>
      </c>
      <c r="F41" t="inlineStr">
        <is>
          <t>Percentage whose Caregiver Rated Their Personal Doctor a "9" or "10" on a Scale from 0 to 10, with 10 Representing the Highest Score: General Child (GC) Population Ages 0 to 17</t>
        </is>
      </c>
      <c r="G41" t="inlineStr">
        <is>
          <t>Higher values are better</t>
        </is>
      </c>
      <c r="H41" t="inlineStr">
        <is>
          <t>Agency for Healthcare Research and Quality (AHRQ) and CMS analysis of the AHRQ CAHPS Database for the July 2023 to June 2024 data collection period as of January 28, 2025.</t>
        </is>
      </c>
      <c r="I41" t="inlineStr">
        <is>
          <t>State-specific comments: CHIP rates were calculated using data from the AHRQ CAHPS Database. Rates include managed care population (15 MCOs).</t>
        </is>
      </c>
      <c r="J41" s="4" t="n">
        <v>0.785</v>
      </c>
      <c r="K41" s="4" t="n">
        <v>0.771</v>
      </c>
      <c r="L41" s="4" t="n">
        <v>0.833</v>
      </c>
      <c r="M41" s="4" t="n">
        <v>0.672</v>
      </c>
      <c r="N41" s="4" t="n">
        <v>0.743</v>
      </c>
      <c r="O41" s="4" t="n">
        <v>0.791</v>
      </c>
    </row>
    <row r="42">
      <c r="A42" t="inlineStr">
        <is>
          <t>Rating of Personal Doctor</t>
        </is>
      </c>
      <c r="B42" t="inlineStr"/>
      <c r="C42" t="n">
        <v>2023</v>
      </c>
      <c r="D42" t="inlineStr">
        <is>
          <t>Medicaid</t>
        </is>
      </c>
      <c r="E42" t="inlineStr">
        <is>
          <t>CAHPS 5.1H</t>
        </is>
      </c>
      <c r="F42" t="inlineStr">
        <is>
          <t>Percentage whose Caregiver Rated Their Personal Doctor a "9" or "10" on a Scale from 0 to 10, with 10 Representing the Highest Score: General Child (GC) Population Ages 0 to 17</t>
        </is>
      </c>
      <c r="G42" t="inlineStr">
        <is>
          <t>Higher values are better</t>
        </is>
      </c>
      <c r="H42" t="inlineStr">
        <is>
          <t>Agency for Healthcare Research and Quality (AHRQ) and CMS analysis of the AHRQ CAHPS Database for the July 2022 to June 2023 data collection period as of January 24, 2024.</t>
        </is>
      </c>
      <c r="I42" t="inlineStr">
        <is>
          <t>State-specific comments: Medicaid rates were calculated using data from the AHRQ CAHPS Database. Rates include managed care population (16 MCOs).</t>
        </is>
      </c>
      <c r="J42" s="4" t="n">
        <v>0.747</v>
      </c>
      <c r="K42" s="4" t="n">
        <v>0.752</v>
      </c>
      <c r="L42" s="4" t="n">
        <v>0.822</v>
      </c>
      <c r="M42" s="4" t="n">
        <v>0.697</v>
      </c>
      <c r="N42" s="4" t="n">
        <v>0.732</v>
      </c>
      <c r="O42" s="4" t="n">
        <v>0.78</v>
      </c>
    </row>
    <row r="43">
      <c r="A43" t="inlineStr">
        <is>
          <t>Rating of Personal Doctor</t>
        </is>
      </c>
      <c r="B43" t="inlineStr"/>
      <c r="C43" t="n">
        <v>2023</v>
      </c>
      <c r="D43" t="inlineStr">
        <is>
          <t>CHIP</t>
        </is>
      </c>
      <c r="E43" t="inlineStr">
        <is>
          <t>CAHPS 5.1H</t>
        </is>
      </c>
      <c r="F43" t="inlineStr">
        <is>
          <t>Percentage whose Caregiver Rated Their Personal Doctor a "9" or "10" on a Scale from 0 to 10, with 10 Representing the Highest Score: General Child (GC) Population Ages 0 to 17</t>
        </is>
      </c>
      <c r="G43" t="inlineStr">
        <is>
          <t>Higher values are better</t>
        </is>
      </c>
      <c r="H43" t="inlineStr">
        <is>
          <t>Agency for Healthcare Research and Quality (AHRQ) and CMS analysis of the AHRQ CAHPS Database for the July 2022 to June 2023 data collection period as of January 24, 2024.</t>
        </is>
      </c>
      <c r="I43" t="inlineStr">
        <is>
          <t>State-specific comments: CHIP rates were calculated using data from the AHRQ CAHPS Database. Rates include managed care population (15 MCOs).</t>
        </is>
      </c>
      <c r="J43" s="4" t="n">
        <v>0.795</v>
      </c>
      <c r="K43" s="4" t="n">
        <v>0.752</v>
      </c>
      <c r="L43" s="4" t="n">
        <v>0.822</v>
      </c>
      <c r="M43" s="4" t="n">
        <v>0.697</v>
      </c>
      <c r="N43" s="4" t="n">
        <v>0.732</v>
      </c>
      <c r="O43" s="4" t="n">
        <v>0.78</v>
      </c>
    </row>
    <row r="44">
      <c r="A44" t="inlineStr">
        <is>
          <t>Rating of Specialist</t>
        </is>
      </c>
      <c r="B44" t="inlineStr">
        <is>
          <t>Children with Chronic Conditions (CCC)</t>
        </is>
      </c>
      <c r="C44" t="n">
        <v>2024</v>
      </c>
      <c r="D44" t="inlineStr">
        <is>
          <t>Medicaid</t>
        </is>
      </c>
      <c r="E44" t="inlineStr">
        <is>
          <t>CAHPS 5.1H</t>
        </is>
      </c>
      <c r="F44" t="inlineStr">
        <is>
          <t>Percentage whose Caregiver Rated Their Specialist a "9" or "10" on a Scale from 0 to 10, with 10 Representing the Highest Score: General Child (GC) Population Ages 0 to 17</t>
        </is>
      </c>
      <c r="G44" t="inlineStr">
        <is>
          <t>Higher values are better</t>
        </is>
      </c>
      <c r="H44" t="inlineStr">
        <is>
          <t>Agency for Healthcare Research and Quality (AHRQ) and CMS analysis of the AHRQ CAHPS Database for the July 2023 to June 2024 data collection period as of January 28, 2025.</t>
        </is>
      </c>
      <c r="I44" t="inlineStr">
        <is>
          <t>State-specific comments: Medicaid rates were calculated using data from the AHRQ CAHPS Database. Rates include managed care population (16 MCOs).</t>
        </is>
      </c>
      <c r="J44" t="inlineStr">
        <is>
          <t>Denominator is less than 100</t>
        </is>
      </c>
      <c r="K44" s="4" t="n">
        <v>0.703</v>
      </c>
      <c r="L44" s="4" t="n">
        <v>0.8169999999999999</v>
      </c>
      <c r="M44" s="4" t="n">
        <v>0.619</v>
      </c>
      <c r="N44" s="4" t="n">
        <v>0.678</v>
      </c>
      <c r="O44" s="4" t="n">
        <v>0.746</v>
      </c>
    </row>
    <row r="45">
      <c r="A45" t="inlineStr">
        <is>
          <t>Rating of Specialist</t>
        </is>
      </c>
      <c r="B45" t="inlineStr">
        <is>
          <t>Children with Chronic Conditions (CCC)</t>
        </is>
      </c>
      <c r="C45" t="n">
        <v>2024</v>
      </c>
      <c r="D45" t="inlineStr">
        <is>
          <t>CHIP</t>
        </is>
      </c>
      <c r="E45" t="inlineStr">
        <is>
          <t>CAHPS 5.1H</t>
        </is>
      </c>
      <c r="F45" t="inlineStr">
        <is>
          <t>Percentage whose Caregiver Rated Their Specialist a "9" or "10" on a Scale from 0 to 10, with 10 Representing the Highest Score: General Child (GC) Population Ages 0 to 17</t>
        </is>
      </c>
      <c r="G45" t="inlineStr">
        <is>
          <t>Higher values are better</t>
        </is>
      </c>
      <c r="H45" t="inlineStr">
        <is>
          <t>Agency for Healthcare Research and Quality (AHRQ) and CMS analysis of the AHRQ CAHPS Database for the July 2023 to June 2024 data collection period as of January 28, 2025.</t>
        </is>
      </c>
      <c r="I45" t="inlineStr">
        <is>
          <t>State-specific comments: CHIP rates were calculated using data from the AHRQ CAHPS Database. Rates include managed care population (15 MCOs).</t>
        </is>
      </c>
      <c r="J45" t="inlineStr">
        <is>
          <t>Denominator is less than 100</t>
        </is>
      </c>
      <c r="K45" s="4" t="n">
        <v>0.703</v>
      </c>
      <c r="L45" s="4" t="n">
        <v>0.8169999999999999</v>
      </c>
      <c r="M45" s="4" t="n">
        <v>0.619</v>
      </c>
      <c r="N45" s="4" t="n">
        <v>0.678</v>
      </c>
      <c r="O45" s="4" t="n">
        <v>0.746</v>
      </c>
    </row>
    <row r="46">
      <c r="A46" t="inlineStr">
        <is>
          <t>Rating of Specialist</t>
        </is>
      </c>
      <c r="B46" t="inlineStr">
        <is>
          <t>General Child (GC)</t>
        </is>
      </c>
      <c r="C46" t="n">
        <v>2024</v>
      </c>
      <c r="D46" t="inlineStr">
        <is>
          <t>Medicaid</t>
        </is>
      </c>
      <c r="E46" t="inlineStr">
        <is>
          <t>CAHPS 5.1H</t>
        </is>
      </c>
      <c r="F46" t="inlineStr">
        <is>
          <t>Percentage whose Caregiver Rated Their Specialist a "9" or "10" on a Scale from 0 to 10, with 10 Representing the Highest Score: General Child (GC) Population Ages 0 to 17</t>
        </is>
      </c>
      <c r="G46" t="inlineStr">
        <is>
          <t>Higher values are better</t>
        </is>
      </c>
      <c r="H46" t="inlineStr">
        <is>
          <t>Agency for Healthcare Research and Quality (AHRQ) and CMS analysis of the AHRQ CAHPS Database for the July 2023 to June 2024 data collection period as of January 28, 2025.</t>
        </is>
      </c>
      <c r="I46" t="inlineStr">
        <is>
          <t>State-specific comments: Medicaid rates were calculated using data from the AHRQ CAHPS Database. Rates include managed care population (16 MCOs).</t>
        </is>
      </c>
      <c r="J46" t="inlineStr">
        <is>
          <t>Denominator is less than 100</t>
        </is>
      </c>
      <c r="K46" s="4" t="n">
        <v>0.726</v>
      </c>
      <c r="L46" s="4" t="n">
        <v>0.837</v>
      </c>
      <c r="M46" s="4" t="n">
        <v>0.639</v>
      </c>
      <c r="N46" s="4" t="n">
        <v>0.707</v>
      </c>
      <c r="O46" s="4" t="n">
        <v>0.752</v>
      </c>
    </row>
    <row r="47">
      <c r="A47" t="inlineStr">
        <is>
          <t>Rating of Specialist</t>
        </is>
      </c>
      <c r="B47" t="inlineStr">
        <is>
          <t>General Child (GC)</t>
        </is>
      </c>
      <c r="C47" t="n">
        <v>2024</v>
      </c>
      <c r="D47" t="inlineStr">
        <is>
          <t>CHIP</t>
        </is>
      </c>
      <c r="E47" t="inlineStr">
        <is>
          <t>CAHPS 5.1H</t>
        </is>
      </c>
      <c r="F47" t="inlineStr">
        <is>
          <t>Percentage whose Caregiver Rated Their Specialist a "9" or "10" on a Scale from 0 to 10, with 10 Representing the Highest Score: General Child (GC) Population Ages 0 to 17</t>
        </is>
      </c>
      <c r="G47" t="inlineStr">
        <is>
          <t>Higher values are better</t>
        </is>
      </c>
      <c r="H47" t="inlineStr">
        <is>
          <t>Agency for Healthcare Research and Quality (AHRQ) and CMS analysis of the AHRQ CAHPS Database for the July 2023 to June 2024 data collection period as of January 28, 2025.</t>
        </is>
      </c>
      <c r="I47" t="inlineStr">
        <is>
          <t>State-specific comments: CHIP rates were calculated using data from the AHRQ CAHPS Database. Rates include managed care population (15 MCOs).</t>
        </is>
      </c>
      <c r="J47" t="inlineStr">
        <is>
          <t>Denominator is less than 100</t>
        </is>
      </c>
      <c r="K47" s="4" t="n">
        <v>0.726</v>
      </c>
      <c r="L47" s="4" t="n">
        <v>0.837</v>
      </c>
      <c r="M47" s="4" t="n">
        <v>0.639</v>
      </c>
      <c r="N47" s="4" t="n">
        <v>0.707</v>
      </c>
      <c r="O47" s="4" t="n">
        <v>0.752</v>
      </c>
    </row>
    <row r="48">
      <c r="A48" t="inlineStr">
        <is>
          <t>Rating of Specialist</t>
        </is>
      </c>
      <c r="B48" t="inlineStr"/>
      <c r="C48" t="n">
        <v>2023</v>
      </c>
      <c r="D48" t="inlineStr">
        <is>
          <t>Medicaid</t>
        </is>
      </c>
      <c r="E48" t="inlineStr">
        <is>
          <t>CAHPS 5.1H</t>
        </is>
      </c>
      <c r="F48" t="inlineStr">
        <is>
          <t>Percentage whose Caregiver Rated Their Specialist a "9" or "10" on a Scale from 0 to 10, with 10 Representing the Highest Score: General Child (GC) Population Ages 0 to 17</t>
        </is>
      </c>
      <c r="G48" t="inlineStr">
        <is>
          <t>Higher values are better</t>
        </is>
      </c>
      <c r="H48" t="inlineStr">
        <is>
          <t>Agency for Healthcare Research and Quality (AHRQ) and CMS analysis of the AHRQ CAHPS Database for the July 2022 to June 2023 data collection period as of January 24, 2024.</t>
        </is>
      </c>
      <c r="I48" t="inlineStr">
        <is>
          <t>State-specific comments: Medicaid rates were calculated using data from the AHRQ CAHPS Database. Rates include managed care population (16 MCOs).</t>
        </is>
      </c>
      <c r="J48" t="inlineStr">
        <is>
          <t>Denominator is less than 100</t>
        </is>
      </c>
      <c r="K48" s="4" t="n">
        <v>0.724</v>
      </c>
      <c r="L48" s="4" t="n">
        <v>0.788</v>
      </c>
      <c r="M48" s="4" t="n">
        <v>0.59</v>
      </c>
      <c r="N48" s="4" t="n">
        <v>0.6919999999999999</v>
      </c>
      <c r="O48" s="4" t="n">
        <v>0.735</v>
      </c>
    </row>
    <row r="49">
      <c r="A49" t="inlineStr">
        <is>
          <t>Rating of Specialist</t>
        </is>
      </c>
      <c r="B49" t="inlineStr"/>
      <c r="C49" t="n">
        <v>2023</v>
      </c>
      <c r="D49" t="inlineStr">
        <is>
          <t>CHIP</t>
        </is>
      </c>
      <c r="E49" t="inlineStr">
        <is>
          <t>CAHPS 5.1H</t>
        </is>
      </c>
      <c r="F49" t="inlineStr">
        <is>
          <t>Percentage whose Caregiver Rated Their Specialist a "9" or "10" on a Scale from 0 to 10, with 10 Representing the Highest Score: General Child (GC) Population Ages 0 to 17</t>
        </is>
      </c>
      <c r="G49" t="inlineStr">
        <is>
          <t>Higher values are better</t>
        </is>
      </c>
      <c r="H49" t="inlineStr">
        <is>
          <t>Agency for Healthcare Research and Quality (AHRQ) and CMS analysis of the AHRQ CAHPS Database for the July 2022 to June 2023 data collection period as of January 24, 2024.</t>
        </is>
      </c>
      <c r="I49" t="inlineStr">
        <is>
          <t>State-specific comments: CHIP rates were calculated using data from the AHRQ CAHPS Database. Rates include managed care population (15 MCOs).</t>
        </is>
      </c>
      <c r="J49" t="inlineStr">
        <is>
          <t>Denominator is less than 100</t>
        </is>
      </c>
      <c r="K49" s="4" t="n">
        <v>0.724</v>
      </c>
      <c r="L49" s="4" t="n">
        <v>0.788</v>
      </c>
      <c r="M49" s="4" t="n">
        <v>0.59</v>
      </c>
      <c r="N49" s="4" t="n">
        <v>0.6919999999999999</v>
      </c>
      <c r="O49" s="4" t="n">
        <v>0.735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56" customWidth="1" min="1" max="1"/>
    <col width="13" customWidth="1" min="2" max="2"/>
    <col width="12" customWidth="1" min="3" max="3"/>
    <col width="13"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CAHPS Health Plan Survey 5.1H, Adult Version (Medicaid): Age 18 and Older (CPA-AD)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Coordination of Care</t>
        </is>
      </c>
      <c r="B4" t="n">
        <v>2024</v>
      </c>
      <c r="C4" t="inlineStr">
        <is>
          <t>Medicaid</t>
        </is>
      </c>
      <c r="D4" t="inlineStr">
        <is>
          <t>CAHPS 5.1</t>
        </is>
      </c>
      <c r="E4" t="inlineStr">
        <is>
          <t>Percentage who Selected Their Personal Doctor "Always" Seemed Informed and Up-to-Date about Care from Other Providers, on a Four-Point Scale Ranging from "Never" to "Always": Age 18 and Older</t>
        </is>
      </c>
      <c r="F4" t="inlineStr">
        <is>
          <t>Higher values are better</t>
        </is>
      </c>
      <c r="G4" t="inlineStr">
        <is>
          <t>Agency for Healthcare Research and Quality (AHRQ) and CMS analysis of the AHRQ CAHPS Database for the July 2023 to June 2024 data collection period as of January 28, 2025.</t>
        </is>
      </c>
      <c r="H4" t="inlineStr">
        <is>
          <t>State-specific comments: Rates were calculated using data from the AHRQ CAHPS Database. Rates include managed care population (16 MCOs).</t>
        </is>
      </c>
      <c r="I4" s="4" t="n">
        <v>0.658</v>
      </c>
      <c r="J4" s="4" t="n">
        <v>0.593</v>
      </c>
      <c r="K4" s="4" t="n">
        <v>0.667</v>
      </c>
      <c r="L4" s="4" t="n">
        <v>0.461</v>
      </c>
      <c r="M4" s="4" t="n">
        <v>0.5639999999999999</v>
      </c>
      <c r="N4" s="4" t="n">
        <v>0.629</v>
      </c>
    </row>
    <row r="5">
      <c r="A5" t="inlineStr">
        <is>
          <t>Getting Care Quickly Composite</t>
        </is>
      </c>
      <c r="B5" t="n">
        <v>2023</v>
      </c>
      <c r="C5" t="inlineStr">
        <is>
          <t>Medicaid</t>
        </is>
      </c>
      <c r="D5" t="inlineStr">
        <is>
          <t>CAHPS 5.1H</t>
        </is>
      </c>
      <c r="E5" t="inlineStr">
        <is>
          <t>Percentage who Selected They "Always" Got Care Quickly on a Four-Point Scale Ranging from "Never" to "Always": Age 18 and Older</t>
        </is>
      </c>
      <c r="F5" t="inlineStr">
        <is>
          <t>Higher values are better</t>
        </is>
      </c>
      <c r="G5" t="inlineStr">
        <is>
          <t>Agency for Healthcare Research and Quality (AHRQ) and CMS analysis of the AHRQ CAHPS Database for the July 2022 to June 2023 data collection period as of January 24, 2024.</t>
        </is>
      </c>
      <c r="H5" t="inlineStr">
        <is>
          <t>State-specific comments: Rates were calculated using data from the AHRQ CAHPS Database. Rates include managed care population (16 MCOs).</t>
        </is>
      </c>
      <c r="I5" s="4" t="n">
        <v>0.547</v>
      </c>
      <c r="J5" s="4" t="n">
        <v>0.5620000000000001</v>
      </c>
      <c r="K5" s="4" t="n">
        <v>0.664</v>
      </c>
      <c r="L5" s="4" t="n">
        <v>0.427</v>
      </c>
      <c r="M5" s="4" t="n">
        <v>0.534</v>
      </c>
      <c r="N5" s="4" t="n">
        <v>0.601</v>
      </c>
    </row>
    <row r="6">
      <c r="A6" t="inlineStr">
        <is>
          <t>Getting Care Quickly Composite</t>
        </is>
      </c>
      <c r="B6" t="n">
        <v>2024</v>
      </c>
      <c r="C6" t="inlineStr">
        <is>
          <t>Medicaid</t>
        </is>
      </c>
      <c r="D6" t="inlineStr">
        <is>
          <t>CAHPS 5.1</t>
        </is>
      </c>
      <c r="E6" t="inlineStr">
        <is>
          <t>Percentage who Selected They "Always" Got Care Quickly on a Four-Point Scale Ranging from "Never" to "Always": Age 18 and Older</t>
        </is>
      </c>
      <c r="F6" t="inlineStr">
        <is>
          <t>Higher values are better</t>
        </is>
      </c>
      <c r="G6" t="inlineStr">
        <is>
          <t>Agency for Healthcare Research and Quality (AHRQ) and CMS analysis of the AHRQ CAHPS Database for the July 2023 to June 2024 data collection period as of January 28, 2025.</t>
        </is>
      </c>
      <c r="H6" t="inlineStr">
        <is>
          <t>State-specific comments: Rates were calculated using data from the AHRQ CAHPS Database. Rates include managed care population (16 MCOs).</t>
        </is>
      </c>
      <c r="I6" s="4" t="n">
        <v>0.641</v>
      </c>
      <c r="J6" s="4" t="n">
        <v>0.5679999999999999</v>
      </c>
      <c r="K6" s="4" t="n">
        <v>0.662</v>
      </c>
      <c r="L6" s="4" t="n">
        <v>0.419</v>
      </c>
      <c r="M6" s="4" t="n">
        <v>0.522</v>
      </c>
      <c r="N6" s="4" t="n">
        <v>0.607</v>
      </c>
    </row>
    <row r="7">
      <c r="A7" t="inlineStr">
        <is>
          <t>Getting Needed Care Composite</t>
        </is>
      </c>
      <c r="B7" t="n">
        <v>2023</v>
      </c>
      <c r="C7" t="inlineStr">
        <is>
          <t>Medicaid</t>
        </is>
      </c>
      <c r="D7" t="inlineStr">
        <is>
          <t>CAHPS 5.1H</t>
        </is>
      </c>
      <c r="E7" t="inlineStr">
        <is>
          <t>Percentage who Selected They "Always" Got Needed Care, on a Four-Point Scale Ranging from "Never" to "Always": Age 18 and Older</t>
        </is>
      </c>
      <c r="F7" t="inlineStr">
        <is>
          <t>Higher values are better</t>
        </is>
      </c>
      <c r="G7" t="inlineStr">
        <is>
          <t>Agency for Healthcare Research and Quality (AHRQ) and CMS analysis of the AHRQ CAHPS Database for the July 2022 to June 2023 data collection period as of January 24, 2024.</t>
        </is>
      </c>
      <c r="H7" t="inlineStr">
        <is>
          <t>State-specific comments: Rates were calculated using data from the AHRQ CAHPS Database. Rates include managed care population (16 MCOs).</t>
        </is>
      </c>
      <c r="I7" s="4" t="n">
        <v>0.58</v>
      </c>
      <c r="J7" s="4" t="n">
        <v>0.539</v>
      </c>
      <c r="K7" s="4" t="n">
        <v>0.643</v>
      </c>
      <c r="L7" s="4" t="n">
        <v>0.4</v>
      </c>
      <c r="M7" s="4" t="n">
        <v>0.475</v>
      </c>
      <c r="N7" s="4" t="n">
        <v>0.5669999999999999</v>
      </c>
    </row>
    <row r="8">
      <c r="A8" t="inlineStr">
        <is>
          <t>Getting Needed Care Composite</t>
        </is>
      </c>
      <c r="B8" t="n">
        <v>2024</v>
      </c>
      <c r="C8" t="inlineStr">
        <is>
          <t>Medicaid</t>
        </is>
      </c>
      <c r="D8" t="inlineStr">
        <is>
          <t>CAHPS 5.1</t>
        </is>
      </c>
      <c r="E8" t="inlineStr">
        <is>
          <t>Percentage who Selected They "Always" Got Needed Care, on a Four-Point Scale Ranging from "Never" to "Always": Age 18 and Older</t>
        </is>
      </c>
      <c r="F8" t="inlineStr">
        <is>
          <t>Higher values are better</t>
        </is>
      </c>
      <c r="G8" t="inlineStr">
        <is>
          <t>Agency for Healthcare Research and Quality (AHRQ) and CMS analysis of the AHRQ CAHPS Database for the July 2023 to June 2024 data collection period as of January 28, 2025.</t>
        </is>
      </c>
      <c r="H8" t="inlineStr">
        <is>
          <t>State-specific comments: Rates were calculated using data from the AHRQ CAHPS Database. Rates include managed care population (16 MCOs).</t>
        </is>
      </c>
      <c r="I8" s="4" t="n">
        <v>0.588</v>
      </c>
      <c r="J8" s="4" t="n">
        <v>0.528</v>
      </c>
      <c r="K8" s="4" t="n">
        <v>0.659</v>
      </c>
      <c r="L8" s="4" t="n">
        <v>0.396</v>
      </c>
      <c r="M8" s="4" t="n">
        <v>0.481</v>
      </c>
      <c r="N8" s="4" t="n">
        <v>0.5649999999999999</v>
      </c>
    </row>
    <row r="9">
      <c r="A9" t="inlineStr">
        <is>
          <t>Health Plan Information and Customer Service Composite</t>
        </is>
      </c>
      <c r="B9" t="n">
        <v>2023</v>
      </c>
      <c r="C9" t="inlineStr">
        <is>
          <t>Medicaid</t>
        </is>
      </c>
      <c r="D9" t="inlineStr">
        <is>
          <t>CAHPS 5.1H</t>
        </is>
      </c>
      <c r="E9" t="inlineStr">
        <is>
          <t>Percentage who Selected their Health Plan Customer Service "Always" Gave Helpful Information and was Courteous and Respectful, on a Four-Point Scale Ranging from "Never" to "Always": Age 18 and Older</t>
        </is>
      </c>
      <c r="F9" t="inlineStr">
        <is>
          <t>Higher values are better</t>
        </is>
      </c>
      <c r="G9" t="inlineStr">
        <is>
          <t>Agency for Healthcare Research and Quality (AHRQ) and CMS analysis of the AHRQ CAHPS Database for the July 2022 to June 2023 data collection period as of January 24, 2024.</t>
        </is>
      </c>
      <c r="H9" t="inlineStr">
        <is>
          <t>State-specific comments: Rates were calculated using data from the AHRQ CAHPS Database. Rates include managed care population (16 MCOs).</t>
        </is>
      </c>
      <c r="I9" s="4" t="n">
        <v>0.759</v>
      </c>
      <c r="J9" s="4" t="n">
        <v>0.698</v>
      </c>
      <c r="K9" s="4" t="n">
        <v>0.759</v>
      </c>
      <c r="L9" s="4" t="n">
        <v>0.58</v>
      </c>
      <c r="M9" s="4" t="n">
        <v>0.667</v>
      </c>
      <c r="N9" s="4" t="n">
        <v>0.725</v>
      </c>
    </row>
    <row r="10">
      <c r="A10" t="inlineStr">
        <is>
          <t>Health Plan Information and Customer Service Composite</t>
        </is>
      </c>
      <c r="B10" t="n">
        <v>2024</v>
      </c>
      <c r="C10" t="inlineStr">
        <is>
          <t>Medicaid</t>
        </is>
      </c>
      <c r="D10" t="inlineStr">
        <is>
          <t>CAHPS 5.1</t>
        </is>
      </c>
      <c r="E10" t="inlineStr">
        <is>
          <t>Percentage who Selected their Health Plan Customer Service "Always" Gave Helpful Information and was Courteous and Respectful, on a Four-Point Scale Ranging from "Never" to "Always": Age 18 and Older</t>
        </is>
      </c>
      <c r="F10" t="inlineStr">
        <is>
          <t>Higher values are better</t>
        </is>
      </c>
      <c r="G10" t="inlineStr">
        <is>
          <t>Agency for Healthcare Research and Quality (AHRQ) and CMS analysis of the AHRQ CAHPS Database for the July 2023 to June 2024 data collection period as of January 28, 2025.</t>
        </is>
      </c>
      <c r="H10" t="inlineStr">
        <is>
          <t>State-specific comments: Rates were calculated using data from the AHRQ CAHPS Database. Rates include managed care population (16 MCOs).</t>
        </is>
      </c>
      <c r="I10" s="4" t="n">
        <v>0.738</v>
      </c>
      <c r="J10" s="4" t="n">
        <v>0.6860000000000001</v>
      </c>
      <c r="K10" s="4" t="n">
        <v>0.761</v>
      </c>
      <c r="L10" s="4" t="n">
        <v>0.573</v>
      </c>
      <c r="M10" s="4" t="n">
        <v>0.659</v>
      </c>
      <c r="N10" s="4" t="n">
        <v>0.71</v>
      </c>
    </row>
    <row r="11">
      <c r="A11" t="inlineStr">
        <is>
          <t>How Well Doctors Communicate Composite</t>
        </is>
      </c>
      <c r="B11" t="n">
        <v>2023</v>
      </c>
      <c r="C11" t="inlineStr">
        <is>
          <t>Medicaid</t>
        </is>
      </c>
      <c r="D11" t="inlineStr">
        <is>
          <t>CAHPS 5.1H</t>
        </is>
      </c>
      <c r="E11" t="inlineStr">
        <is>
          <t>Percentage who Selected that Their Doctor Communicates Well "Always," on a Four-Point Scale Ranging from "Never" to "Always": Age 18 and Older</t>
        </is>
      </c>
      <c r="F11" t="inlineStr">
        <is>
          <t>Higher values are better</t>
        </is>
      </c>
      <c r="G11" t="inlineStr">
        <is>
          <t>Agency for Healthcare Research and Quality (AHRQ) and CMS analysis of the AHRQ CAHPS Database for the July 2022 to June 2023 data collection period as of January 24, 2024.</t>
        </is>
      </c>
      <c r="H11" t="inlineStr">
        <is>
          <t>State-specific comments: Rates were calculated using data from the AHRQ CAHPS Database. Rates include managed care population (16 MCOs).</t>
        </is>
      </c>
      <c r="I11" s="4" t="n">
        <v>0.787</v>
      </c>
      <c r="J11" s="4" t="n">
        <v>0.762</v>
      </c>
      <c r="K11" s="4" t="n">
        <v>0.832</v>
      </c>
      <c r="L11" s="4" t="n">
        <v>0.64</v>
      </c>
      <c r="M11" s="4" t="n">
        <v>0.736</v>
      </c>
      <c r="N11" s="4" t="n">
        <v>0.79</v>
      </c>
    </row>
    <row r="12">
      <c r="A12" t="inlineStr">
        <is>
          <t>How Well Doctors Communicate Composite</t>
        </is>
      </c>
      <c r="B12" t="n">
        <v>2024</v>
      </c>
      <c r="C12" t="inlineStr">
        <is>
          <t>Medicaid</t>
        </is>
      </c>
      <c r="D12" t="inlineStr">
        <is>
          <t>CAHPS 5.1</t>
        </is>
      </c>
      <c r="E12" t="inlineStr">
        <is>
          <t>Percentage who Selected that Their Doctor Communicates Well "Always," on a Four-Point Scale Ranging from "Never" to "Always": Age 18 and Older</t>
        </is>
      </c>
      <c r="F12" t="inlineStr">
        <is>
          <t>Higher values are better</t>
        </is>
      </c>
      <c r="G12" t="inlineStr">
        <is>
          <t>Agency for Healthcare Research and Quality (AHRQ) and CMS analysis of the AHRQ CAHPS Database for the July 2023 to June 2024 data collection period as of January 28, 2025.</t>
        </is>
      </c>
      <c r="H12" t="inlineStr">
        <is>
          <t>State-specific comments: Rates were calculated using data from the AHRQ CAHPS Database. Rates include managed care population (16 MCOs).</t>
        </is>
      </c>
      <c r="I12" s="4" t="n">
        <v>0.805</v>
      </c>
      <c r="J12" s="4" t="n">
        <v>0.761</v>
      </c>
      <c r="K12" s="4" t="n">
        <v>0.845</v>
      </c>
      <c r="L12" s="4" t="n">
        <v>0.655</v>
      </c>
      <c r="M12" s="4" t="n">
        <v>0.747</v>
      </c>
      <c r="N12" s="4" t="n">
        <v>0.793</v>
      </c>
    </row>
    <row r="13">
      <c r="A13" t="inlineStr">
        <is>
          <t>Rating of Health Care</t>
        </is>
      </c>
      <c r="B13" t="n">
        <v>2023</v>
      </c>
      <c r="C13" t="inlineStr">
        <is>
          <t>Medicaid</t>
        </is>
      </c>
      <c r="D13" t="inlineStr">
        <is>
          <t>CAHPS 5.1H</t>
        </is>
      </c>
      <c r="E13" t="inlineStr">
        <is>
          <t>Percentage who Rated Their Health Care a "9" or "10" on a Scale from 0 to 10, with 10 Representing the Highest Score: Age 18 and Older</t>
        </is>
      </c>
      <c r="F13" t="inlineStr">
        <is>
          <t>Higher values are better</t>
        </is>
      </c>
      <c r="G13" t="inlineStr">
        <is>
          <t>Agency for Healthcare Research and Quality (AHRQ) and CMS analysis of the AHRQ CAHPS Database for the July 2022 to June 2023 data collection period as of January 24, 2024.</t>
        </is>
      </c>
      <c r="H13" t="inlineStr">
        <is>
          <t>State-specific comments: Rates were calculated using data from the AHRQ CAHPS Database. Rates include managed care population (16 MCOs).</t>
        </is>
      </c>
      <c r="I13" s="4" t="n">
        <v>0.586</v>
      </c>
      <c r="J13" s="4" t="n">
        <v>0.553</v>
      </c>
      <c r="K13" s="4" t="n">
        <v>0.621</v>
      </c>
      <c r="L13" s="4" t="n">
        <v>0.457</v>
      </c>
      <c r="M13" s="4" t="n">
        <v>0.513</v>
      </c>
      <c r="N13" s="4" t="n">
        <v>0.584</v>
      </c>
    </row>
    <row r="14">
      <c r="A14" t="inlineStr">
        <is>
          <t>Rating of Health Care</t>
        </is>
      </c>
      <c r="B14" t="n">
        <v>2024</v>
      </c>
      <c r="C14" t="inlineStr">
        <is>
          <t>Medicaid</t>
        </is>
      </c>
      <c r="D14" t="inlineStr">
        <is>
          <t>CAHPS 5.1</t>
        </is>
      </c>
      <c r="E14" t="inlineStr">
        <is>
          <t>Percentage who Rated Their Health Care a "9" or "10" on a Scale from 0 to 10, with 10 Representing the Highest Score: Age 18 and Older</t>
        </is>
      </c>
      <c r="F14" t="inlineStr">
        <is>
          <t>Higher values are better</t>
        </is>
      </c>
      <c r="G14" t="inlineStr">
        <is>
          <t>Agency for Healthcare Research and Quality (AHRQ) and CMS analysis of the AHRQ CAHPS Database for the July 2023 to June 2024 data collection period as of January 28, 2025.</t>
        </is>
      </c>
      <c r="H14" t="inlineStr">
        <is>
          <t>State-specific comments: Rates were calculated using data from the AHRQ CAHPS Database. Rates include managed care population (16 MCOs).</t>
        </is>
      </c>
      <c r="I14" s="4" t="n">
        <v>0.67</v>
      </c>
      <c r="J14" s="4" t="n">
        <v>0.5590000000000001</v>
      </c>
      <c r="K14" s="4" t="n">
        <v>0.67</v>
      </c>
      <c r="L14" s="4" t="n">
        <v>0.44</v>
      </c>
      <c r="M14" s="4" t="n">
        <v>0.524</v>
      </c>
      <c r="N14" s="4" t="n">
        <v>0.589</v>
      </c>
    </row>
    <row r="15">
      <c r="A15" t="inlineStr">
        <is>
          <t>Rating of Health Plan</t>
        </is>
      </c>
      <c r="B15" t="n">
        <v>2023</v>
      </c>
      <c r="C15" t="inlineStr">
        <is>
          <t>Medicaid</t>
        </is>
      </c>
      <c r="D15" t="inlineStr">
        <is>
          <t>CAHPS 5.1H</t>
        </is>
      </c>
      <c r="E15" t="inlineStr">
        <is>
          <t>Percentage who Rated Their Health Plan a "9" or "10" on a Scale from 0 to 10, with 10 Representing the Highest Score: Age 18 and Older</t>
        </is>
      </c>
      <c r="F15" t="inlineStr">
        <is>
          <t>Higher values are better</t>
        </is>
      </c>
      <c r="G15" t="inlineStr">
        <is>
          <t>Agency for Healthcare Research and Quality (AHRQ) and CMS analysis of the AHRQ CAHPS Database for the July 2022 to June 2023 data collection period as of January 24, 2024.</t>
        </is>
      </c>
      <c r="H15" t="inlineStr">
        <is>
          <t>State-specific comments: Rates were calculated using data from the AHRQ CAHPS Database. Rates include managed care population (16 MCOs).</t>
        </is>
      </c>
      <c r="I15" s="4" t="n">
        <v>0.587</v>
      </c>
      <c r="J15" s="4" t="n">
        <v>0.627</v>
      </c>
      <c r="K15" s="4" t="n">
        <v>0.697</v>
      </c>
      <c r="L15" s="4" t="n">
        <v>0.496</v>
      </c>
      <c r="M15" s="4" t="n">
        <v>0.577</v>
      </c>
      <c r="N15" s="4" t="n">
        <v>0.646</v>
      </c>
    </row>
    <row r="16">
      <c r="A16" t="inlineStr">
        <is>
          <t>Rating of Health Plan</t>
        </is>
      </c>
      <c r="B16" t="n">
        <v>2024</v>
      </c>
      <c r="C16" t="inlineStr">
        <is>
          <t>Medicaid</t>
        </is>
      </c>
      <c r="D16" t="inlineStr">
        <is>
          <t>CAHPS 5.1</t>
        </is>
      </c>
      <c r="E16" t="inlineStr">
        <is>
          <t>Percentage who Rated Their Health Plan a "9" or "10" on a Scale from 0 to 10, with 10 Representing the Highest Score: Age 18 and Older</t>
        </is>
      </c>
      <c r="F16" t="inlineStr">
        <is>
          <t>Higher values are better</t>
        </is>
      </c>
      <c r="G16" t="inlineStr">
        <is>
          <t>Agency for Healthcare Research and Quality (AHRQ) and CMS analysis of the AHRQ CAHPS Database for the July 2023 to June 2024 data collection period as of January 28, 2025.</t>
        </is>
      </c>
      <c r="H16" t="inlineStr">
        <is>
          <t>State-specific comments: Rates were calculated using data from the AHRQ CAHPS Database. Rates include managed care population (16 MCOs).</t>
        </is>
      </c>
      <c r="I16" s="4" t="n">
        <v>0.648</v>
      </c>
      <c r="J16" s="4" t="n">
        <v>0.616</v>
      </c>
      <c r="K16" s="4" t="n">
        <v>0.712</v>
      </c>
      <c r="L16" s="4" t="n">
        <v>0.475</v>
      </c>
      <c r="M16" s="4" t="n">
        <v>0.5649999999999999</v>
      </c>
      <c r="N16" s="4" t="n">
        <v>0.653</v>
      </c>
    </row>
    <row r="17">
      <c r="A17" t="inlineStr">
        <is>
          <t>Rating of Personal Doctor</t>
        </is>
      </c>
      <c r="B17" t="n">
        <v>2023</v>
      </c>
      <c r="C17" t="inlineStr">
        <is>
          <t>Medicaid</t>
        </is>
      </c>
      <c r="D17" t="inlineStr">
        <is>
          <t>CAHPS 5.1H</t>
        </is>
      </c>
      <c r="E17" t="inlineStr">
        <is>
          <t>Percentage who Rated Their Personal Doctor a "9" or "10" on a Scale from 0 to 10, with 10 Representing the Highest Score: Age 18 and Older</t>
        </is>
      </c>
      <c r="F17" t="inlineStr">
        <is>
          <t>Higher values are better</t>
        </is>
      </c>
      <c r="G17" t="inlineStr">
        <is>
          <t>Agency for Healthcare Research and Quality (AHRQ) and CMS analysis of the AHRQ CAHPS Database for the July 2022 to June 2023 data collection period as of January 24, 2024.</t>
        </is>
      </c>
      <c r="H17" t="inlineStr">
        <is>
          <t>State-specific comments: Rates were calculated using data from the AHRQ CAHPS Database. Rates include managed care population (16 MCOs).</t>
        </is>
      </c>
      <c r="I17" s="4" t="n">
        <v>0.718</v>
      </c>
      <c r="J17" s="4" t="n">
        <v>0.6840000000000001</v>
      </c>
      <c r="K17" s="4" t="n">
        <v>0.771</v>
      </c>
      <c r="L17" s="4" t="n">
        <v>0.588</v>
      </c>
      <c r="M17" s="4" t="n">
        <v>0.656</v>
      </c>
      <c r="N17" s="4" t="n">
        <v>0.714</v>
      </c>
    </row>
    <row r="18">
      <c r="A18" t="inlineStr">
        <is>
          <t>Rating of Personal Doctor</t>
        </is>
      </c>
      <c r="B18" t="n">
        <v>2024</v>
      </c>
      <c r="C18" t="inlineStr">
        <is>
          <t>Medicaid</t>
        </is>
      </c>
      <c r="D18" t="inlineStr">
        <is>
          <t>CAHPS 5.1</t>
        </is>
      </c>
      <c r="E18" t="inlineStr">
        <is>
          <t>Percentage who Rated Their Personal Doctor a "9" or "10" on a Scale from 0 to 10, with 10 Representing the Highest Score: Age 18 and Older</t>
        </is>
      </c>
      <c r="F18" t="inlineStr">
        <is>
          <t>Higher values are better</t>
        </is>
      </c>
      <c r="G18" t="inlineStr">
        <is>
          <t>Agency for Healthcare Research and Quality (AHRQ) and CMS analysis of the AHRQ CAHPS Database for the July 2023 to June 2024 data collection period as of January 28, 2025.</t>
        </is>
      </c>
      <c r="H18" t="inlineStr">
        <is>
          <t>State-specific comments: Rates were calculated using data from the AHRQ CAHPS Database. Rates include managed care population (16 MCOs).</t>
        </is>
      </c>
      <c r="I18" s="4" t="n">
        <v>0.759</v>
      </c>
      <c r="J18" s="4" t="n">
        <v>0.695</v>
      </c>
      <c r="K18" s="4" t="n">
        <v>0.8179999999999999</v>
      </c>
      <c r="L18" s="4" t="n">
        <v>0.601</v>
      </c>
      <c r="M18" s="4" t="n">
        <v>0.663</v>
      </c>
      <c r="N18" s="4" t="n">
        <v>0.715</v>
      </c>
    </row>
    <row r="19">
      <c r="A19" t="inlineStr">
        <is>
          <t>Rating of Specialist</t>
        </is>
      </c>
      <c r="B19" t="n">
        <v>2023</v>
      </c>
      <c r="C19" t="inlineStr">
        <is>
          <t>Medicaid</t>
        </is>
      </c>
      <c r="D19" t="inlineStr">
        <is>
          <t>CAHPS 5.1H</t>
        </is>
      </c>
      <c r="E19" t="inlineStr">
        <is>
          <t>Percentage who Rated Their Specialist a "9" or "10" on a Scale from 0 to 10, with 10 Representing the Highest Score: Age 18 and Older</t>
        </is>
      </c>
      <c r="F19" t="inlineStr">
        <is>
          <t>Higher values are better</t>
        </is>
      </c>
      <c r="G19" t="inlineStr">
        <is>
          <t>Agency for Healthcare Research and Quality (AHRQ) and CMS analysis of the AHRQ CAHPS Database for the July 2022 to June 2023 data collection period as of January 24, 2024.</t>
        </is>
      </c>
      <c r="H19" t="inlineStr">
        <is>
          <t>State-specific comments: Rates were calculated using data from the AHRQ CAHPS Database. Rates include managed care population (16 MCOs).</t>
        </is>
      </c>
      <c r="I19" s="4" t="n">
        <v>0.702</v>
      </c>
      <c r="J19" s="4" t="n">
        <v>0.666</v>
      </c>
      <c r="K19" s="4" t="n">
        <v>0.732</v>
      </c>
      <c r="L19" s="4" t="n">
        <v>0.5580000000000001</v>
      </c>
      <c r="M19" s="4" t="n">
        <v>0.639</v>
      </c>
      <c r="N19" s="4" t="n">
        <v>0.6899999999999999</v>
      </c>
    </row>
    <row r="20">
      <c r="A20" t="inlineStr">
        <is>
          <t>Rating of Specialist</t>
        </is>
      </c>
      <c r="B20" t="n">
        <v>2024</v>
      </c>
      <c r="C20" t="inlineStr">
        <is>
          <t>Medicaid</t>
        </is>
      </c>
      <c r="D20" t="inlineStr">
        <is>
          <t>CAHPS 5.1</t>
        </is>
      </c>
      <c r="E20" t="inlineStr">
        <is>
          <t>Percentage who Rated Their Specialist a "9" or "10" on a Scale from 0 to 10, with 10 Representing the Highest Score: Age 18 and Older</t>
        </is>
      </c>
      <c r="F20" t="inlineStr">
        <is>
          <t>Higher values are better</t>
        </is>
      </c>
      <c r="G20" t="inlineStr">
        <is>
          <t>Agency for Healthcare Research and Quality (AHRQ) and CMS analysis of the AHRQ CAHPS Database for the July 2023 to June 2024 data collection period as of January 28, 2025.</t>
        </is>
      </c>
      <c r="H20" t="inlineStr">
        <is>
          <t>State-specific comments: Rates were calculated using data from the AHRQ CAHPS Database. Rates include managed care population (16 MCOs).</t>
        </is>
      </c>
      <c r="I20" s="4" t="n">
        <v>0.789</v>
      </c>
      <c r="J20" s="4" t="n">
        <v>0.673</v>
      </c>
      <c r="K20" s="4" t="n">
        <v>0.789</v>
      </c>
      <c r="L20" s="4" t="n">
        <v>0.575</v>
      </c>
      <c r="M20" s="4" t="n">
        <v>0.636</v>
      </c>
      <c r="N20" s="4" t="n">
        <v>0.709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60" customWidth="1" min="2" max="2"/>
    <col width="25"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Cervical Cancer Screening: Ages 21 to 64 (CCS-AD)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of Women Screened for Cervical Cancer: Ages 21 to 64</t>
        </is>
      </c>
      <c r="E4" t="inlineStr">
        <is>
          <t>Higher values are better</t>
        </is>
      </c>
      <c r="F4" t="inlineStr">
        <is>
          <t>Mathematica analysis of the Quality Measure Reporting (QMR) system reports for the FFY 2021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4" t="n">
        <v>0.523</v>
      </c>
      <c r="I4" s="4" t="n">
        <v>0.522</v>
      </c>
      <c r="J4" s="4" t="n">
        <v>0.696</v>
      </c>
      <c r="K4" s="4" t="n">
        <v>0.298</v>
      </c>
      <c r="L4" s="4" t="n">
        <v>0.451</v>
      </c>
      <c r="M4" s="4" t="n">
        <v>0.588</v>
      </c>
    </row>
    <row r="5">
      <c r="A5" t="n">
        <v>2022</v>
      </c>
      <c r="B5" t="inlineStr">
        <is>
          <t>Medicaid</t>
        </is>
      </c>
      <c r="C5" t="inlineStr">
        <is>
          <t>Administrative &amp; Hybrid</t>
        </is>
      </c>
      <c r="D5" t="inlineStr">
        <is>
          <t>Percentage of Women Screened for Cervical Cancer: Ages 21 to 64</t>
        </is>
      </c>
      <c r="E5" t="inlineStr">
        <is>
          <t>Higher values are better</t>
        </is>
      </c>
      <c r="F5" t="inlineStr">
        <is>
          <t>Mathematica analysis of the Quality Measure Reporting (QMR) system reports for the FFY 2022 reporting cycle as of June 1, 2023.</t>
        </is>
      </c>
      <c r="G5"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derived using both administrative and hybrid method data. State of Texas Access Reform (STAR) and FFS used administrative data. STAR+PLUS utilized hybrid data. Denominator is the measure-eligible population. Rate was audited or validated.</t>
        </is>
      </c>
      <c r="H5" s="4" t="n">
        <v>0.572</v>
      </c>
      <c r="I5" s="4" t="n">
        <v>0.514</v>
      </c>
      <c r="J5" s="4" t="n">
        <v>0.68</v>
      </c>
      <c r="K5" s="4" t="n">
        <v>0.313</v>
      </c>
      <c r="L5" s="4" t="n">
        <v>0.446</v>
      </c>
      <c r="M5" s="4" t="n">
        <v>0.583</v>
      </c>
    </row>
    <row r="6">
      <c r="A6" t="n">
        <v>2023</v>
      </c>
      <c r="B6" t="inlineStr">
        <is>
          <t>Medicaid</t>
        </is>
      </c>
      <c r="C6" t="inlineStr">
        <is>
          <t>Administrative &amp; Hybrid</t>
        </is>
      </c>
      <c r="D6" t="inlineStr">
        <is>
          <t>Percentage of Women Screened for Cervical Cancer: Ages 21 to 64</t>
        </is>
      </c>
      <c r="E6" t="inlineStr">
        <is>
          <t>Higher values are better</t>
        </is>
      </c>
      <c r="F6" t="inlineStr">
        <is>
          <t>Mathematica analysis of the Quality Measure Reporting (QMR) system reports for the 2023 Core Set as of May 16, 2024.</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derived using both administrative and hybrid method data. For FFY 2023 CCS-AD, State of Texas Access Reform (STAR)+PLUS program used hybrid collection method, while STAR and FFS contributed administrative data. Denominator is the measure-eligible population. Rate was audited or validated.</t>
        </is>
      </c>
      <c r="H6" s="4" t="n">
        <v>0.5570000000000001</v>
      </c>
      <c r="I6" s="4" t="n">
        <v>0.523</v>
      </c>
      <c r="J6" s="4" t="n">
        <v>0.666</v>
      </c>
      <c r="K6" s="4" t="n">
        <v>0.248</v>
      </c>
      <c r="L6" s="4" t="n">
        <v>0.453</v>
      </c>
      <c r="M6" s="4" t="n">
        <v>0.584</v>
      </c>
    </row>
    <row r="7">
      <c r="A7" t="n">
        <v>2024</v>
      </c>
      <c r="B7" t="inlineStr">
        <is>
          <t>Medicaid (Title XIX), Title XXI-funded Medicaid Expansion CHIP</t>
        </is>
      </c>
      <c r="C7" t="inlineStr">
        <is>
          <t>Administrative &amp; Hybrid</t>
        </is>
      </c>
      <c r="D7" t="inlineStr">
        <is>
          <t>Percentage of Women Screened for Cervical Cancer: Ages 21 to 64</t>
        </is>
      </c>
      <c r="E7" t="inlineStr">
        <is>
          <t>Higher values are better</t>
        </is>
      </c>
      <c r="F7" t="inlineStr">
        <is>
          <t>Mathematica analysis of the Quality Measure Reporting (QMR) system reports for the 2024 Core Set as of April 28, 2025.</t>
        </is>
      </c>
      <c r="G7"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derived using both administrative and hybrid method data. Hybrid data was collected for State of Texas Access Reform (STAR)+PLUS, while STAR and FFS contributed administrative data. Rate was audited or validated.</t>
        </is>
      </c>
      <c r="H7" s="4" t="n">
        <v>0.534</v>
      </c>
      <c r="I7" s="4" t="n">
        <v>0.5</v>
      </c>
      <c r="J7" s="4" t="n">
        <v>0.661</v>
      </c>
      <c r="K7" s="4" t="n">
        <v>0.322</v>
      </c>
      <c r="L7" s="4" t="n">
        <v>0.424</v>
      </c>
      <c r="M7" s="4" t="n">
        <v>0.555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22"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Child and Adolescent Well-Care Visits: Ages 3 to 21 (WCV-CH)</t>
        </is>
      </c>
    </row>
    <row r="2"/>
    <row r="3">
      <c r="A3" s="1" t="inlineStr">
        <is>
          <t>Age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Ages 12 to 17</t>
        </is>
      </c>
      <c r="B4" t="n">
        <v>2021</v>
      </c>
      <c r="C4" t="inlineStr">
        <is>
          <t>Medicaid only</t>
        </is>
      </c>
      <c r="D4" t="inlineStr">
        <is>
          <t>Administrative</t>
        </is>
      </c>
      <c r="E4" t="inlineStr">
        <is>
          <t>Percentage with at Least 1 Well-Care Visit with a Primary Care Practitioner or Obstetrician/Gynecologist: Ages 12 to 17</t>
        </is>
      </c>
      <c r="F4" t="inlineStr">
        <is>
          <t>Higher values are better</t>
        </is>
      </c>
      <c r="G4" t="inlineStr">
        <is>
          <t>Mathematica analysis of the Quality Measure Reporting (QMR) system reports for the FFY 2021 reporting cycle as of June 1, 2023.</t>
        </is>
      </c>
      <c r="H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0.5639999999999999</v>
      </c>
      <c r="J4" s="4" t="n">
        <v>0.453</v>
      </c>
      <c r="K4" s="4" t="n">
        <v>0.661</v>
      </c>
      <c r="L4" s="4" t="n">
        <v>0.191</v>
      </c>
      <c r="M4" s="4" t="n">
        <v>0.386</v>
      </c>
      <c r="N4" s="4" t="n">
        <v>0.538</v>
      </c>
    </row>
    <row r="5">
      <c r="A5" t="inlineStr">
        <is>
          <t>Ages 12 to 17</t>
        </is>
      </c>
      <c r="B5" t="n">
        <v>2021</v>
      </c>
      <c r="C5" t="inlineStr">
        <is>
          <t>CHIP only</t>
        </is>
      </c>
      <c r="D5" t="inlineStr">
        <is>
          <t>Administrative</t>
        </is>
      </c>
      <c r="E5" t="inlineStr">
        <is>
          <t>Percentage with at Least 1 Well-Care Visit with a Primary Care Practitioner or Obstetrician/Gynecologist: Ages 12 to 17</t>
        </is>
      </c>
      <c r="F5" t="inlineStr">
        <is>
          <t>Higher values are better</t>
        </is>
      </c>
      <c r="G5" t="inlineStr">
        <is>
          <t>Mathematica analysis of the Quality Measure Reporting (QMR) system reports for the FFY 2021 reporting cycle as of June 1, 2023.</t>
        </is>
      </c>
      <c r="H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0.575</v>
      </c>
      <c r="J5" s="4" t="n">
        <v>0.453</v>
      </c>
      <c r="K5" s="4" t="n">
        <v>0.661</v>
      </c>
      <c r="L5" s="4" t="n">
        <v>0.191</v>
      </c>
      <c r="M5" s="4" t="n">
        <v>0.386</v>
      </c>
      <c r="N5" s="4" t="n">
        <v>0.538</v>
      </c>
    </row>
    <row r="6">
      <c r="A6" t="inlineStr">
        <is>
          <t>Ages 12 to 17</t>
        </is>
      </c>
      <c r="B6" t="n">
        <v>2022</v>
      </c>
      <c r="C6" t="inlineStr">
        <is>
          <t>Medicaid only</t>
        </is>
      </c>
      <c r="D6" t="inlineStr">
        <is>
          <t>Administrative</t>
        </is>
      </c>
      <c r="E6" t="inlineStr">
        <is>
          <t>Percentage with at Least 1 Well-Care Visit with a Primary Care Practitioner or Obstetrician/Gynecologist: Ages 12 to 17</t>
        </is>
      </c>
      <c r="F6" t="inlineStr">
        <is>
          <t>Higher values are better</t>
        </is>
      </c>
      <c r="G6" t="inlineStr">
        <is>
          <t>Mathematica analysis of the Quality Measure Reporting (QMR) system reports for the FFY 2022 reporting cycle as of June 1, 2023.</t>
        </is>
      </c>
      <c r="H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0.606</v>
      </c>
      <c r="J6" s="4" t="n">
        <v>0.49</v>
      </c>
      <c r="K6" s="4" t="n">
        <v>0.712</v>
      </c>
      <c r="L6" s="4" t="n">
        <v>0.3</v>
      </c>
      <c r="M6" s="4" t="n">
        <v>0.434</v>
      </c>
      <c r="N6" s="4" t="n">
        <v>0.554</v>
      </c>
    </row>
    <row r="7">
      <c r="A7" t="inlineStr">
        <is>
          <t>Ages 12 to 17</t>
        </is>
      </c>
      <c r="B7" t="n">
        <v>2022</v>
      </c>
      <c r="C7" t="inlineStr">
        <is>
          <t>CHIP only</t>
        </is>
      </c>
      <c r="D7" t="inlineStr">
        <is>
          <t>Administrative</t>
        </is>
      </c>
      <c r="E7" t="inlineStr">
        <is>
          <t>Percentage with at Least 1 Well-Care Visit with a Primary Care Practitioner or Obstetrician/Gynecologist: Ages 12 to 17</t>
        </is>
      </c>
      <c r="F7" t="inlineStr">
        <is>
          <t>Higher values are better</t>
        </is>
      </c>
      <c r="G7" t="inlineStr">
        <is>
          <t>Mathematica analysis of the Quality Measure Reporting (QMR) system reports for the FFY 2022 reporting cycle as of June 1, 2023.</t>
        </is>
      </c>
      <c r="H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0.629</v>
      </c>
      <c r="J7" s="4" t="n">
        <v>0.49</v>
      </c>
      <c r="K7" s="4" t="n">
        <v>0.712</v>
      </c>
      <c r="L7" s="4" t="n">
        <v>0.3</v>
      </c>
      <c r="M7" s="4" t="n">
        <v>0.434</v>
      </c>
      <c r="N7" s="4" t="n">
        <v>0.554</v>
      </c>
    </row>
    <row r="8">
      <c r="A8" t="inlineStr">
        <is>
          <t>Ages 12 to 17</t>
        </is>
      </c>
      <c r="B8" t="n">
        <v>2023</v>
      </c>
      <c r="C8" t="inlineStr">
        <is>
          <t>Medicaid only</t>
        </is>
      </c>
      <c r="D8" t="inlineStr">
        <is>
          <t>Administrative</t>
        </is>
      </c>
      <c r="E8" t="inlineStr">
        <is>
          <t>Percentage with at Least 1 Well-Care Visit with a Primary Care Practitioner or Obstetrician/Gynecologist: Ages 12 to 17</t>
        </is>
      </c>
      <c r="F8" t="inlineStr">
        <is>
          <t>Higher values are better</t>
        </is>
      </c>
      <c r="G8" t="inlineStr">
        <is>
          <t>Mathematica analysis of the Quality Measure Reporting (QMR) system reports for the 2023 Core Set as of May 16, 2024.</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0.576</v>
      </c>
      <c r="J8" s="4" t="n">
        <v>0.485</v>
      </c>
      <c r="K8" s="4" t="n">
        <v>0.696</v>
      </c>
      <c r="L8" s="4" t="n">
        <v>0.164</v>
      </c>
      <c r="M8" s="4" t="n">
        <v>0.414</v>
      </c>
      <c r="N8" s="4" t="n">
        <v>0.547</v>
      </c>
    </row>
    <row r="9">
      <c r="A9" t="inlineStr">
        <is>
          <t>Ages 12 to 17</t>
        </is>
      </c>
      <c r="B9" t="n">
        <v>2023</v>
      </c>
      <c r="C9" t="inlineStr">
        <is>
          <t>CHIP only</t>
        </is>
      </c>
      <c r="D9" t="inlineStr">
        <is>
          <t>Administrative</t>
        </is>
      </c>
      <c r="E9" t="inlineStr">
        <is>
          <t>Percentage with at Least 1 Well-Care Visit with a Primary Care Practitioner or Obstetrician/Gynecologist: Ages 12 to 17</t>
        </is>
      </c>
      <c r="F9" t="inlineStr">
        <is>
          <t>Higher values are better</t>
        </is>
      </c>
      <c r="G9" t="inlineStr">
        <is>
          <t>Mathematica analysis of the Quality Measure Reporting (QMR) system reports for the 2023 Core Set as of May 16, 2024.</t>
        </is>
      </c>
      <c r="H9"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s="4" t="n">
        <v>0.66</v>
      </c>
      <c r="J9" s="4" t="n">
        <v>0.485</v>
      </c>
      <c r="K9" s="4" t="n">
        <v>0.696</v>
      </c>
      <c r="L9" s="4" t="n">
        <v>0.164</v>
      </c>
      <c r="M9" s="4" t="n">
        <v>0.414</v>
      </c>
      <c r="N9" s="4" t="n">
        <v>0.547</v>
      </c>
    </row>
    <row r="10">
      <c r="A10" t="inlineStr">
        <is>
          <t>Ages 12 to 17</t>
        </is>
      </c>
      <c r="B10" t="n">
        <v>2024</v>
      </c>
      <c r="C10" t="inlineStr">
        <is>
          <t>Medicaid (Title XIX), Title XXI-funded Medicaid Expansion CHIP, Separate CHIP (Title XXI)</t>
        </is>
      </c>
      <c r="D10" t="inlineStr">
        <is>
          <t>Administrative</t>
        </is>
      </c>
      <c r="E10" t="inlineStr">
        <is>
          <t>Percentage with at Least 1 Well-Care Visit with a Primary Care Practitioner or Obstetrician/Gynecologist: Ages 12 to 17</t>
        </is>
      </c>
      <c r="F10" t="inlineStr">
        <is>
          <t>Higher values are better</t>
        </is>
      </c>
      <c r="G10" t="inlineStr">
        <is>
          <t>Mathematica analysis of the Quality Measure Reporting (QMR) system reports for the 2024 Core Set as of April 28, 2025.</t>
        </is>
      </c>
      <c r="H10" t="inlineStr">
        <is>
          <t>State-specific comments: Rate combines the Medicaid and separate CHIP data reported by the state in the QMR system. See Medicaid and separate CHIP state-specific comments for information about the data reported for each population.</t>
        </is>
      </c>
      <c r="I10" s="4" t="n">
        <v>0.604</v>
      </c>
      <c r="J10" s="4" t="n">
        <v>0.499</v>
      </c>
      <c r="K10" s="4" t="n">
        <v>0.698</v>
      </c>
      <c r="L10" s="4" t="n">
        <v>0.165</v>
      </c>
      <c r="M10" s="4" t="n">
        <v>0.434</v>
      </c>
      <c r="N10" s="4" t="n">
        <v>0.5580000000000001</v>
      </c>
    </row>
    <row r="11">
      <c r="A11" t="inlineStr">
        <is>
          <t>Ages 12 to 17</t>
        </is>
      </c>
      <c r="B11" t="n">
        <v>2024</v>
      </c>
      <c r="C11" t="inlineStr">
        <is>
          <t>Medicaid (Title XIX), Title XXI-funded Medicaid Expansion CHIP</t>
        </is>
      </c>
      <c r="D11" t="inlineStr">
        <is>
          <t>Administrative</t>
        </is>
      </c>
      <c r="E11" t="inlineStr">
        <is>
          <t>Percentage with at Least 1 Well-Care Visit with a Primary Care Practitioner or Obstetrician/Gynecologist: Ages 12 to 17</t>
        </is>
      </c>
      <c r="F11" t="inlineStr">
        <is>
          <t>Higher values are better</t>
        </is>
      </c>
      <c r="G11" t="inlineStr">
        <is>
          <t>Mathematica analysis of the Quality Measure Reporting (QMR) system reports for the 2024 Core Set as of April 28, 2025.</t>
        </is>
      </c>
      <c r="H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0.603</v>
      </c>
      <c r="J11" s="4" t="n">
        <v>0.499</v>
      </c>
      <c r="K11" s="4" t="n">
        <v>0.698</v>
      </c>
      <c r="L11" s="4" t="n">
        <v>0.165</v>
      </c>
      <c r="M11" s="4" t="n">
        <v>0.434</v>
      </c>
      <c r="N11" s="4" t="n">
        <v>0.5580000000000001</v>
      </c>
    </row>
    <row r="12">
      <c r="A12" t="inlineStr">
        <is>
          <t>Ages 12 to 17</t>
        </is>
      </c>
      <c r="B12" t="n">
        <v>2024</v>
      </c>
      <c r="C12" t="inlineStr">
        <is>
          <t>Separate CHIP (Title XXI)</t>
        </is>
      </c>
      <c r="D12" t="inlineStr">
        <is>
          <t>Administrative</t>
        </is>
      </c>
      <c r="E12" t="inlineStr">
        <is>
          <t>Percentage with at Least 1 Well-Care Visit with a Primary Care Practitioner or Obstetrician/Gynecologist: Ages 12 to 17</t>
        </is>
      </c>
      <c r="F12" t="inlineStr">
        <is>
          <t>Higher values are better</t>
        </is>
      </c>
      <c r="G12" t="inlineStr">
        <is>
          <t>Mathematica analysis of the Quality Measure Reporting (QMR) system reports for the 2024 Core Set as of April 28, 2025.</t>
        </is>
      </c>
      <c r="H1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0.681</v>
      </c>
      <c r="J12" s="4" t="n">
        <v>0.499</v>
      </c>
      <c r="K12" s="4" t="n">
        <v>0.698</v>
      </c>
      <c r="L12" s="4" t="n">
        <v>0.165</v>
      </c>
      <c r="M12" s="4" t="n">
        <v>0.434</v>
      </c>
      <c r="N12" s="4" t="n">
        <v>0.5580000000000001</v>
      </c>
    </row>
    <row r="13">
      <c r="A13" t="inlineStr">
        <is>
          <t>Ages 18 to 21</t>
        </is>
      </c>
      <c r="B13" t="n">
        <v>2021</v>
      </c>
      <c r="C13" t="inlineStr">
        <is>
          <t>Medicaid only</t>
        </is>
      </c>
      <c r="D13" t="inlineStr">
        <is>
          <t>Administrative</t>
        </is>
      </c>
      <c r="E13" t="inlineStr">
        <is>
          <t>Percentage with at Least 1 Well-Care Visit with a Primary Care Practitioner or Obstetrician/Gynecologist: Ages 18 to 21</t>
        </is>
      </c>
      <c r="F13" t="inlineStr">
        <is>
          <t>Higher values are better</t>
        </is>
      </c>
      <c r="G13" t="inlineStr">
        <is>
          <t>Mathematica analysis of the Quality Measure Reporting (QMR) system reports for the FFY 2021 reporting cycle as of June 1, 2023.</t>
        </is>
      </c>
      <c r="H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3" s="4" t="n">
        <v>0.326</v>
      </c>
      <c r="J13" s="4" t="n">
        <v>0.239</v>
      </c>
      <c r="K13" s="4" t="n">
        <v>0.556</v>
      </c>
      <c r="L13" s="4" t="n">
        <v>0.065</v>
      </c>
      <c r="M13" s="4" t="n">
        <v>0.185</v>
      </c>
      <c r="N13" s="4" t="n">
        <v>0.317</v>
      </c>
    </row>
    <row r="14">
      <c r="A14" t="inlineStr">
        <is>
          <t>Ages 18 to 21</t>
        </is>
      </c>
      <c r="B14" t="n">
        <v>2021</v>
      </c>
      <c r="C14" t="inlineStr">
        <is>
          <t>CHIP only</t>
        </is>
      </c>
      <c r="D14" t="inlineStr">
        <is>
          <t>Administrative</t>
        </is>
      </c>
      <c r="E14" t="inlineStr">
        <is>
          <t>Percentage with at Least 1 Well-Care Visit with a Primary Care Practitioner or Obstetrician/Gynecologist: Ages 18 to 21</t>
        </is>
      </c>
      <c r="F14" t="inlineStr">
        <is>
          <t>Higher values are better</t>
        </is>
      </c>
      <c r="G14" t="inlineStr">
        <is>
          <t>Mathematica analysis of the Quality Measure Reporting (QMR) system reports for the FFY 2021 reporting cycle as of June 1, 2023.</t>
        </is>
      </c>
      <c r="H1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s="4" t="n">
        <v>0.426</v>
      </c>
      <c r="J14" s="4" t="n">
        <v>0.239</v>
      </c>
      <c r="K14" s="4" t="n">
        <v>0.556</v>
      </c>
      <c r="L14" s="4" t="n">
        <v>0.065</v>
      </c>
      <c r="M14" s="4" t="n">
        <v>0.185</v>
      </c>
      <c r="N14" s="4" t="n">
        <v>0.317</v>
      </c>
    </row>
    <row r="15">
      <c r="A15" t="inlineStr">
        <is>
          <t>Ages 18 to 21</t>
        </is>
      </c>
      <c r="B15" t="n">
        <v>2022</v>
      </c>
      <c r="C15" t="inlineStr">
        <is>
          <t>Medicaid only</t>
        </is>
      </c>
      <c r="D15" t="inlineStr">
        <is>
          <t>Administrative</t>
        </is>
      </c>
      <c r="E15" t="inlineStr">
        <is>
          <t>Percentage with at Least 1 Well-Care Visit with a Primary Care Practitioner or Obstetrician/Gynecologist: Ages 18 to 21</t>
        </is>
      </c>
      <c r="F15" t="inlineStr">
        <is>
          <t>Higher values are better</t>
        </is>
      </c>
      <c r="G15" t="inlineStr">
        <is>
          <t>Mathematica analysis of the Quality Measure Reporting (QMR) system reports for the FFY 2022 reporting cycle as of June 1, 2023.</t>
        </is>
      </c>
      <c r="H1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s="4" t="n">
        <v>0.305</v>
      </c>
      <c r="J15" s="4" t="n">
        <v>0.225</v>
      </c>
      <c r="K15" s="4" t="n">
        <v>0.486</v>
      </c>
      <c r="L15" s="4" t="n">
        <v>0.091</v>
      </c>
      <c r="M15" s="4" t="n">
        <v>0.199</v>
      </c>
      <c r="N15" s="4" t="n">
        <v>0.304</v>
      </c>
    </row>
    <row r="16">
      <c r="A16" t="inlineStr">
        <is>
          <t>Ages 18 to 21</t>
        </is>
      </c>
      <c r="B16" t="n">
        <v>2022</v>
      </c>
      <c r="C16" t="inlineStr">
        <is>
          <t>CHIP only</t>
        </is>
      </c>
      <c r="D16" t="inlineStr">
        <is>
          <t>Administrative</t>
        </is>
      </c>
      <c r="E16" t="inlineStr">
        <is>
          <t>Percentage with at Least 1 Well-Care Visit with a Primary Care Practitioner or Obstetrician/Gynecologist: Ages 18 to 21</t>
        </is>
      </c>
      <c r="F16" t="inlineStr">
        <is>
          <t>Higher values are better</t>
        </is>
      </c>
      <c r="G16" t="inlineStr">
        <is>
          <t>Mathematica analysis of the Quality Measure Reporting (QMR) system reports for the FFY 2022 reporting cycle as of June 1, 2023.</t>
        </is>
      </c>
      <c r="H16"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6" s="4" t="n">
        <v>0.443</v>
      </c>
      <c r="J16" s="4" t="n">
        <v>0.225</v>
      </c>
      <c r="K16" s="4" t="n">
        <v>0.486</v>
      </c>
      <c r="L16" s="4" t="n">
        <v>0.091</v>
      </c>
      <c r="M16" s="4" t="n">
        <v>0.199</v>
      </c>
      <c r="N16" s="4" t="n">
        <v>0.304</v>
      </c>
    </row>
    <row r="17">
      <c r="A17" t="inlineStr">
        <is>
          <t>Ages 18 to 21</t>
        </is>
      </c>
      <c r="B17" t="n">
        <v>2023</v>
      </c>
      <c r="C17" t="inlineStr">
        <is>
          <t>Medicaid only</t>
        </is>
      </c>
      <c r="D17" t="inlineStr">
        <is>
          <t>Administrative</t>
        </is>
      </c>
      <c r="E17" t="inlineStr">
        <is>
          <t>Percentage with at Least 1 Well-Care Visit with a Primary Care Practitioner or Obstetrician/Gynecologist: Ages 18 to 21</t>
        </is>
      </c>
      <c r="F17" t="inlineStr">
        <is>
          <t>Higher values are better</t>
        </is>
      </c>
      <c r="G17" t="inlineStr">
        <is>
          <t>Mathematica analysis of the Quality Measure Reporting (QMR) system reports for the 2023 Core Set as of May 16, 2024.</t>
        </is>
      </c>
      <c r="H1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7" s="4" t="n">
        <v>0.271</v>
      </c>
      <c r="J17" s="4" t="n">
        <v>0.224</v>
      </c>
      <c r="K17" s="4" t="n">
        <v>0.469</v>
      </c>
      <c r="L17" s="4" t="n">
        <v>0.073</v>
      </c>
      <c r="M17" s="4" t="n">
        <v>0.196</v>
      </c>
      <c r="N17" s="4" t="n">
        <v>0.289</v>
      </c>
    </row>
    <row r="18">
      <c r="A18" t="inlineStr">
        <is>
          <t>Ages 18 to 21</t>
        </is>
      </c>
      <c r="B18" t="n">
        <v>2023</v>
      </c>
      <c r="C18" t="inlineStr">
        <is>
          <t>CHIP only</t>
        </is>
      </c>
      <c r="D18" t="inlineStr">
        <is>
          <t>Administrative</t>
        </is>
      </c>
      <c r="E18" t="inlineStr">
        <is>
          <t>Percentage with at Least 1 Well-Care Visit with a Primary Care Practitioner or Obstetrician/Gynecologist: Ages 18 to 21</t>
        </is>
      </c>
      <c r="F18" t="inlineStr">
        <is>
          <t>Higher values are better</t>
        </is>
      </c>
      <c r="G18" t="inlineStr">
        <is>
          <t>Mathematica analysis of the Quality Measure Reporting (QMR) system reports for the 2023 Core Set as of May 16, 2024.</t>
        </is>
      </c>
      <c r="H18"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8" s="4" t="n">
        <v>0.494</v>
      </c>
      <c r="J18" s="4" t="n">
        <v>0.224</v>
      </c>
      <c r="K18" s="4" t="n">
        <v>0.469</v>
      </c>
      <c r="L18" s="4" t="n">
        <v>0.073</v>
      </c>
      <c r="M18" s="4" t="n">
        <v>0.196</v>
      </c>
      <c r="N18" s="4" t="n">
        <v>0.289</v>
      </c>
    </row>
    <row r="19">
      <c r="A19" t="inlineStr">
        <is>
          <t>Ages 18 to 21</t>
        </is>
      </c>
      <c r="B19" t="n">
        <v>2024</v>
      </c>
      <c r="C19" t="inlineStr">
        <is>
          <t>Medicaid (Title XIX), Title XXI-funded Medicaid Expansion CHIP, Separate CHIP (Title XXI)</t>
        </is>
      </c>
      <c r="D19" t="inlineStr">
        <is>
          <t>Administrative</t>
        </is>
      </c>
      <c r="E19" t="inlineStr">
        <is>
          <t>Percentage with at Least 1 Well-Care Visit with a Primary Care Practitioner or Obstetrician/Gynecologist: Ages 18 to 21</t>
        </is>
      </c>
      <c r="F19" t="inlineStr">
        <is>
          <t>Higher values are better</t>
        </is>
      </c>
      <c r="G19" t="inlineStr">
        <is>
          <t>Mathematica analysis of the Quality Measure Reporting (QMR) system reports for the 2024 Core Set as of April 28, 2025.</t>
        </is>
      </c>
      <c r="H19" t="inlineStr">
        <is>
          <t>State-specific comments: Rate combines the Medicaid and separate CHIP data reported by the state in the QMR system. See Medicaid and separate CHIP state-specific comments for information about the data reported for each population.</t>
        </is>
      </c>
      <c r="I19" s="4" t="n">
        <v>0.345</v>
      </c>
      <c r="J19" s="4" t="n">
        <v>0.256</v>
      </c>
      <c r="K19" s="4" t="n">
        <v>0.453</v>
      </c>
      <c r="L19" s="4" t="n">
        <v>0.08500000000000001</v>
      </c>
      <c r="M19" s="4" t="n">
        <v>0.21</v>
      </c>
      <c r="N19" s="4" t="n">
        <v>0.305</v>
      </c>
    </row>
    <row r="20">
      <c r="A20" t="inlineStr">
        <is>
          <t>Ages 18 to 21</t>
        </is>
      </c>
      <c r="B20" t="n">
        <v>2024</v>
      </c>
      <c r="C20" t="inlineStr">
        <is>
          <t>Medicaid (Title XIX), Title XXI-funded Medicaid Expansion CHIP</t>
        </is>
      </c>
      <c r="D20" t="inlineStr">
        <is>
          <t>Administrative</t>
        </is>
      </c>
      <c r="E20" t="inlineStr">
        <is>
          <t>Percentage with at Least 1 Well-Care Visit with a Primary Care Practitioner or Obstetrician/Gynecologist: Ages 18 to 21</t>
        </is>
      </c>
      <c r="F20" t="inlineStr">
        <is>
          <t>Higher values are better</t>
        </is>
      </c>
      <c r="G20" t="inlineStr">
        <is>
          <t>Mathematica analysis of the Quality Measure Reporting (QMR) system reports for the 2024 Core Set as of April 28, 2025.</t>
        </is>
      </c>
      <c r="H2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0" s="4" t="n">
        <v>0.345</v>
      </c>
      <c r="J20" s="4" t="n">
        <v>0.256</v>
      </c>
      <c r="K20" s="4" t="n">
        <v>0.453</v>
      </c>
      <c r="L20" s="4" t="n">
        <v>0.08500000000000001</v>
      </c>
      <c r="M20" s="4" t="n">
        <v>0.21</v>
      </c>
      <c r="N20" s="4" t="n">
        <v>0.305</v>
      </c>
    </row>
    <row r="21">
      <c r="A21" t="inlineStr">
        <is>
          <t>Ages 18 to 21</t>
        </is>
      </c>
      <c r="B21" t="n">
        <v>2024</v>
      </c>
      <c r="C21" t="inlineStr">
        <is>
          <t>Separate CHIP (Title XXI)</t>
        </is>
      </c>
      <c r="D21" t="inlineStr">
        <is>
          <t>Administrative</t>
        </is>
      </c>
      <c r="E21" t="inlineStr">
        <is>
          <t>Percentage with at Least 1 Well-Care Visit with a Primary Care Practitioner or Obstetrician/Gynecologist: Ages 18 to 21</t>
        </is>
      </c>
      <c r="F21" t="inlineStr">
        <is>
          <t>Higher values are better</t>
        </is>
      </c>
      <c r="G21" t="inlineStr">
        <is>
          <t>Mathematica analysis of the Quality Measure Reporting (QMR) system reports for the 2024 Core Set as of April 28, 2025.</t>
        </is>
      </c>
      <c r="H21"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1" s="4" t="n">
        <v>0.513</v>
      </c>
      <c r="J21" s="4" t="n">
        <v>0.256</v>
      </c>
      <c r="K21" s="4" t="n">
        <v>0.453</v>
      </c>
      <c r="L21" s="4" t="n">
        <v>0.08500000000000001</v>
      </c>
      <c r="M21" s="4" t="n">
        <v>0.21</v>
      </c>
      <c r="N21" s="4" t="n">
        <v>0.305</v>
      </c>
    </row>
    <row r="22">
      <c r="A22" t="inlineStr">
        <is>
          <t>Ages 3 to 11</t>
        </is>
      </c>
      <c r="B22" t="n">
        <v>2021</v>
      </c>
      <c r="C22" t="inlineStr">
        <is>
          <t>Medicaid only</t>
        </is>
      </c>
      <c r="D22" t="inlineStr">
        <is>
          <t>Administrative</t>
        </is>
      </c>
      <c r="E22" t="inlineStr">
        <is>
          <t>Percentage with at Least 1 Well-Care Visit with a Primary Care Practitioner or Obstetrician/Gynecologist: Ages 3 to 11</t>
        </is>
      </c>
      <c r="F22" t="inlineStr">
        <is>
          <t>Higher values are better</t>
        </is>
      </c>
      <c r="G22" t="inlineStr">
        <is>
          <t>Mathematica analysis of the Quality Measure Reporting (QMR) system reports for the FFY 2021 reporting cycle as of June 1, 2023.</t>
        </is>
      </c>
      <c r="H22"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2" s="4" t="n">
        <v>0.615</v>
      </c>
      <c r="J22" s="4" t="n">
        <v>0.511</v>
      </c>
      <c r="K22" s="4" t="n">
        <v>0.719</v>
      </c>
      <c r="L22" s="4" t="n">
        <v>0.24</v>
      </c>
      <c r="M22" s="4" t="n">
        <v>0.461</v>
      </c>
      <c r="N22" s="4" t="n">
        <v>0.598</v>
      </c>
    </row>
    <row r="23">
      <c r="A23" t="inlineStr">
        <is>
          <t>Ages 3 to 11</t>
        </is>
      </c>
      <c r="B23" t="n">
        <v>2021</v>
      </c>
      <c r="C23" t="inlineStr">
        <is>
          <t>CHIP only</t>
        </is>
      </c>
      <c r="D23" t="inlineStr">
        <is>
          <t>Administrative</t>
        </is>
      </c>
      <c r="E23" t="inlineStr">
        <is>
          <t>Percentage with at Least 1 Well-Care Visit with a Primary Care Practitioner or Obstetrician/Gynecologist: Ages 3 to 11</t>
        </is>
      </c>
      <c r="F23" t="inlineStr">
        <is>
          <t>Higher values are better</t>
        </is>
      </c>
      <c r="G23" t="inlineStr">
        <is>
          <t>Mathematica analysis of the Quality Measure Reporting (QMR) system reports for the FFY 2021 reporting cycle as of June 1, 2023.</t>
        </is>
      </c>
      <c r="H23"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3" s="4" t="n">
        <v>0.614</v>
      </c>
      <c r="J23" s="4" t="n">
        <v>0.511</v>
      </c>
      <c r="K23" s="4" t="n">
        <v>0.719</v>
      </c>
      <c r="L23" s="4" t="n">
        <v>0.24</v>
      </c>
      <c r="M23" s="4" t="n">
        <v>0.461</v>
      </c>
      <c r="N23" s="4" t="n">
        <v>0.598</v>
      </c>
    </row>
    <row r="24">
      <c r="A24" t="inlineStr">
        <is>
          <t>Ages 3 to 11</t>
        </is>
      </c>
      <c r="B24" t="n">
        <v>2022</v>
      </c>
      <c r="C24" t="inlineStr">
        <is>
          <t>Medicaid only</t>
        </is>
      </c>
      <c r="D24" t="inlineStr">
        <is>
          <t>Administrative</t>
        </is>
      </c>
      <c r="E24" t="inlineStr">
        <is>
          <t>Percentage with at Least 1 Well-Care Visit with a Primary Care Practitioner or Obstetrician/Gynecologist: Ages 3 to 11</t>
        </is>
      </c>
      <c r="F24" t="inlineStr">
        <is>
          <t>Higher values are better</t>
        </is>
      </c>
      <c r="G24" t="inlineStr">
        <is>
          <t>Mathematica analysis of the Quality Measure Reporting (QMR) system reports for the FFY 2022 reporting cycle as of June 1, 2023.</t>
        </is>
      </c>
      <c r="H2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4" s="4" t="n">
        <v>0.644</v>
      </c>
      <c r="J24" s="4" t="n">
        <v>0.542</v>
      </c>
      <c r="K24" s="4" t="n">
        <v>0.762</v>
      </c>
      <c r="L24" s="4" t="n">
        <v>0.311</v>
      </c>
      <c r="M24" s="4" t="n">
        <v>0.498</v>
      </c>
      <c r="N24" s="4" t="n">
        <v>0.607</v>
      </c>
    </row>
    <row r="25">
      <c r="A25" t="inlineStr">
        <is>
          <t>Ages 3 to 11</t>
        </is>
      </c>
      <c r="B25" t="n">
        <v>2022</v>
      </c>
      <c r="C25" t="inlineStr">
        <is>
          <t>CHIP only</t>
        </is>
      </c>
      <c r="D25" t="inlineStr">
        <is>
          <t>Administrative</t>
        </is>
      </c>
      <c r="E25" t="inlineStr">
        <is>
          <t>Percentage with at Least 1 Well-Care Visit with a Primary Care Practitioner or Obstetrician/Gynecologist: Ages 3 to 11</t>
        </is>
      </c>
      <c r="F25" t="inlineStr">
        <is>
          <t>Higher values are better</t>
        </is>
      </c>
      <c r="G25" t="inlineStr">
        <is>
          <t>Mathematica analysis of the Quality Measure Reporting (QMR) system reports for the FFY 2022 reporting cycle as of June 1, 2023.</t>
        </is>
      </c>
      <c r="H2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5" s="4" t="n">
        <v>0.647</v>
      </c>
      <c r="J25" s="4" t="n">
        <v>0.542</v>
      </c>
      <c r="K25" s="4" t="n">
        <v>0.762</v>
      </c>
      <c r="L25" s="4" t="n">
        <v>0.311</v>
      </c>
      <c r="M25" s="4" t="n">
        <v>0.498</v>
      </c>
      <c r="N25" s="4" t="n">
        <v>0.607</v>
      </c>
    </row>
    <row r="26">
      <c r="A26" t="inlineStr">
        <is>
          <t>Ages 3 to 11</t>
        </is>
      </c>
      <c r="B26" t="n">
        <v>2023</v>
      </c>
      <c r="C26" t="inlineStr">
        <is>
          <t>Medicaid only</t>
        </is>
      </c>
      <c r="D26" t="inlineStr">
        <is>
          <t>Administrative</t>
        </is>
      </c>
      <c r="E26" t="inlineStr">
        <is>
          <t>Percentage with at Least 1 Well-Care Visit with a Primary Care Practitioner or Obstetrician/Gynecologist: Ages 3 to 11</t>
        </is>
      </c>
      <c r="F26" t="inlineStr">
        <is>
          <t>Higher values are better</t>
        </is>
      </c>
      <c r="G26" t="inlineStr">
        <is>
          <t>Mathematica analysis of the Quality Measure Reporting (QMR) system reports for the 2023 Core Set as of May 16, 2024.</t>
        </is>
      </c>
      <c r="H2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6" s="4" t="n">
        <v>0.623</v>
      </c>
      <c r="J26" s="4" t="n">
        <v>0.533</v>
      </c>
      <c r="K26" s="4" t="n">
        <v>0.756</v>
      </c>
      <c r="L26" s="4" t="n">
        <v>0.203</v>
      </c>
      <c r="M26" s="4" t="n">
        <v>0.5</v>
      </c>
      <c r="N26" s="4" t="n">
        <v>0.604</v>
      </c>
    </row>
    <row r="27">
      <c r="A27" t="inlineStr">
        <is>
          <t>Ages 3 to 11</t>
        </is>
      </c>
      <c r="B27" t="n">
        <v>2023</v>
      </c>
      <c r="C27" t="inlineStr">
        <is>
          <t>CHIP only</t>
        </is>
      </c>
      <c r="D27" t="inlineStr">
        <is>
          <t>Administrative</t>
        </is>
      </c>
      <c r="E27" t="inlineStr">
        <is>
          <t>Percentage with at Least 1 Well-Care Visit with a Primary Care Practitioner or Obstetrician/Gynecologist: Ages 3 to 11</t>
        </is>
      </c>
      <c r="F27" t="inlineStr">
        <is>
          <t>Higher values are better</t>
        </is>
      </c>
      <c r="G27" t="inlineStr">
        <is>
          <t>Mathematica analysis of the Quality Measure Reporting (QMR) system reports for the 2023 Core Set as of May 16, 2024.</t>
        </is>
      </c>
      <c r="H2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7" s="4" t="n">
        <v>0.6889999999999999</v>
      </c>
      <c r="J27" s="4" t="n">
        <v>0.533</v>
      </c>
      <c r="K27" s="4" t="n">
        <v>0.756</v>
      </c>
      <c r="L27" s="4" t="n">
        <v>0.203</v>
      </c>
      <c r="M27" s="4" t="n">
        <v>0.5</v>
      </c>
      <c r="N27" s="4" t="n">
        <v>0.604</v>
      </c>
    </row>
    <row r="28">
      <c r="A28" t="inlineStr">
        <is>
          <t>Ages 3 to 11</t>
        </is>
      </c>
      <c r="B28" t="n">
        <v>2024</v>
      </c>
      <c r="C28" t="inlineStr">
        <is>
          <t>Medicaid (Title XIX), Title XXI-funded Medicaid Expansion CHIP, Separate CHIP (Title XXI)</t>
        </is>
      </c>
      <c r="D28" t="inlineStr">
        <is>
          <t>Administrative</t>
        </is>
      </c>
      <c r="E28" t="inlineStr">
        <is>
          <t>Percentage with at Least 1 Well-Care Visit with a Primary Care Practitioner or Obstetrician/Gynecologist: Ages 3 to 11</t>
        </is>
      </c>
      <c r="F28" t="inlineStr">
        <is>
          <t>Higher values are better</t>
        </is>
      </c>
      <c r="G28" t="inlineStr">
        <is>
          <t>Mathematica analysis of the Quality Measure Reporting (QMR) system reports for the 2024 Core Set as of April 28, 2025.</t>
        </is>
      </c>
      <c r="H28" t="inlineStr">
        <is>
          <t>State-specific comments: Rate combines the Medicaid and separate CHIP data reported by the state in the QMR system. See Medicaid and separate CHIP state-specific comments for information about the data reported for each population.</t>
        </is>
      </c>
      <c r="I28" s="4" t="n">
        <v>0.653</v>
      </c>
      <c r="J28" s="4" t="n">
        <v>0.5639999999999999</v>
      </c>
      <c r="K28" s="4" t="n">
        <v>0.736</v>
      </c>
      <c r="L28" s="4" t="n">
        <v>0.205</v>
      </c>
      <c r="M28" s="4" t="n">
        <v>0.52</v>
      </c>
      <c r="N28" s="4" t="n">
        <v>0.612</v>
      </c>
    </row>
    <row r="29">
      <c r="A29" t="inlineStr">
        <is>
          <t>Ages 3 to 11</t>
        </is>
      </c>
      <c r="B29" t="n">
        <v>2024</v>
      </c>
      <c r="C29" t="inlineStr">
        <is>
          <t>Medicaid (Title XIX), Title XXI-funded Medicaid Expansion CHIP</t>
        </is>
      </c>
      <c r="D29" t="inlineStr">
        <is>
          <t>Administrative</t>
        </is>
      </c>
      <c r="E29" t="inlineStr">
        <is>
          <t>Percentage with at Least 1 Well-Care Visit with a Primary Care Practitioner or Obstetrician/Gynecologist: Ages 3 to 11</t>
        </is>
      </c>
      <c r="F29" t="inlineStr">
        <is>
          <t>Higher values are better</t>
        </is>
      </c>
      <c r="G29" t="inlineStr">
        <is>
          <t>Mathematica analysis of the Quality Measure Reporting (QMR) system reports for the 2024 Core Set as of April 28, 2025.</t>
        </is>
      </c>
      <c r="H29"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9" s="4" t="n">
        <v>0.653</v>
      </c>
      <c r="J29" s="4" t="n">
        <v>0.5639999999999999</v>
      </c>
      <c r="K29" s="4" t="n">
        <v>0.736</v>
      </c>
      <c r="L29" s="4" t="n">
        <v>0.205</v>
      </c>
      <c r="M29" s="4" t="n">
        <v>0.52</v>
      </c>
      <c r="N29" s="4" t="n">
        <v>0.612</v>
      </c>
    </row>
    <row r="30">
      <c r="A30" t="inlineStr">
        <is>
          <t>Ages 3 to 11</t>
        </is>
      </c>
      <c r="B30" t="n">
        <v>2024</v>
      </c>
      <c r="C30" t="inlineStr">
        <is>
          <t>Separate CHIP (Title XXI)</t>
        </is>
      </c>
      <c r="D30" t="inlineStr">
        <is>
          <t>Administrative</t>
        </is>
      </c>
      <c r="E30" t="inlineStr">
        <is>
          <t>Percentage with at Least 1 Well-Care Visit with a Primary Care Practitioner or Obstetrician/Gynecologist: Ages 3 to 11</t>
        </is>
      </c>
      <c r="F30" t="inlineStr">
        <is>
          <t>Higher values are better</t>
        </is>
      </c>
      <c r="G30" t="inlineStr">
        <is>
          <t>Mathematica analysis of the Quality Measure Reporting (QMR) system reports for the 2024 Core Set as of April 28, 2025.</t>
        </is>
      </c>
      <c r="H30"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30" s="4" t="n">
        <v>0.6830000000000001</v>
      </c>
      <c r="J30" s="4" t="n">
        <v>0.5639999999999999</v>
      </c>
      <c r="K30" s="4" t="n">
        <v>0.736</v>
      </c>
      <c r="L30" s="4" t="n">
        <v>0.205</v>
      </c>
      <c r="M30" s="4" t="n">
        <v>0.52</v>
      </c>
      <c r="N30" s="4" t="n">
        <v>0.612</v>
      </c>
    </row>
    <row r="31">
      <c r="A31" t="inlineStr">
        <is>
          <t>Total (Ages 3 to 21)</t>
        </is>
      </c>
      <c r="B31" t="n">
        <v>2021</v>
      </c>
      <c r="C31" t="inlineStr">
        <is>
          <t>Medicaid only</t>
        </is>
      </c>
      <c r="D31" t="inlineStr">
        <is>
          <t>Administrative</t>
        </is>
      </c>
      <c r="E31" t="inlineStr">
        <is>
          <t>Percentage with at Least 1 Well-Care Visit with a Primary Care Practitioner or Obstetrician/Gynecologist: Ages 3 to 21</t>
        </is>
      </c>
      <c r="F31" t="inlineStr">
        <is>
          <t>Higher values are better</t>
        </is>
      </c>
      <c r="G31" t="inlineStr">
        <is>
          <t>Mathematica analysis of the Quality Measure Reporting (QMR) system reports for the FFY 2021 reporting cycle as of June 1, 2023.</t>
        </is>
      </c>
      <c r="H3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31" s="4" t="n">
        <v>0.572</v>
      </c>
      <c r="J31" s="4" t="n">
        <v>0.455</v>
      </c>
      <c r="K31" s="4" t="n">
        <v>0.659</v>
      </c>
      <c r="L31" s="4" t="n">
        <v>0.2</v>
      </c>
      <c r="M31" s="4" t="n">
        <v>0.395</v>
      </c>
      <c r="N31" s="4" t="n">
        <v>0.535</v>
      </c>
    </row>
    <row r="32">
      <c r="A32" t="inlineStr">
        <is>
          <t>Total (Ages 3 to 21)</t>
        </is>
      </c>
      <c r="B32" t="n">
        <v>2021</v>
      </c>
      <c r="C32" t="inlineStr">
        <is>
          <t>CHIP only</t>
        </is>
      </c>
      <c r="D32" t="inlineStr">
        <is>
          <t>Administrative</t>
        </is>
      </c>
      <c r="E32" t="inlineStr">
        <is>
          <t>Percentage with at Least 1 Well-Care Visit with a Primary Care Practitioner or Obstetrician/Gynecologist: Ages 3 to 21</t>
        </is>
      </c>
      <c r="F32" t="inlineStr">
        <is>
          <t>Higher values are better</t>
        </is>
      </c>
      <c r="G32" t="inlineStr">
        <is>
          <t>Mathematica analysis of the Quality Measure Reporting (QMR) system reports for the FFY 2021 reporting cycle as of June 1, 2023.</t>
        </is>
      </c>
      <c r="H32"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32" s="4" t="n">
        <v>0.588</v>
      </c>
      <c r="J32" s="4" t="n">
        <v>0.455</v>
      </c>
      <c r="K32" s="4" t="n">
        <v>0.659</v>
      </c>
      <c r="L32" s="4" t="n">
        <v>0.2</v>
      </c>
      <c r="M32" s="4" t="n">
        <v>0.395</v>
      </c>
      <c r="N32" s="4" t="n">
        <v>0.535</v>
      </c>
    </row>
    <row r="33">
      <c r="A33" t="inlineStr">
        <is>
          <t>Total (Ages 3 to 21)</t>
        </is>
      </c>
      <c r="B33" t="n">
        <v>2022</v>
      </c>
      <c r="C33" t="inlineStr">
        <is>
          <t>Medicaid only</t>
        </is>
      </c>
      <c r="D33" t="inlineStr">
        <is>
          <t>Administrative</t>
        </is>
      </c>
      <c r="E33" t="inlineStr">
        <is>
          <t>Percentage with at Least 1 Well-Care Visit with a Primary Care Practitioner or Obstetrician/Gynecologist: Ages 3 to 21</t>
        </is>
      </c>
      <c r="F33" t="inlineStr">
        <is>
          <t>Higher values are better</t>
        </is>
      </c>
      <c r="G33" t="inlineStr">
        <is>
          <t>Mathematica analysis of the Quality Measure Reporting (QMR) system reports for the FFY 2022 reporting cycle as of June 1, 2023.</t>
        </is>
      </c>
      <c r="H3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33" s="4" t="n">
        <v>0.591</v>
      </c>
      <c r="J33" s="4" t="n">
        <v>0.476</v>
      </c>
      <c r="K33" s="4" t="n">
        <v>0.697</v>
      </c>
      <c r="L33" s="4" t="n">
        <v>0.271</v>
      </c>
      <c r="M33" s="4" t="n">
        <v>0.426</v>
      </c>
      <c r="N33" s="4" t="n">
        <v>0.545</v>
      </c>
    </row>
    <row r="34">
      <c r="A34" t="inlineStr">
        <is>
          <t>Total (Ages 3 to 21)</t>
        </is>
      </c>
      <c r="B34" t="n">
        <v>2022</v>
      </c>
      <c r="C34" t="inlineStr">
        <is>
          <t>CHIP only</t>
        </is>
      </c>
      <c r="D34" t="inlineStr">
        <is>
          <t>Administrative</t>
        </is>
      </c>
      <c r="E34" t="inlineStr">
        <is>
          <t>Percentage with at Least 1 Well-Care Visit with a Primary Care Practitioner or Obstetrician/Gynecologist: Ages 3 to 21</t>
        </is>
      </c>
      <c r="F34" t="inlineStr">
        <is>
          <t>Higher values are better</t>
        </is>
      </c>
      <c r="G34" t="inlineStr">
        <is>
          <t>Mathematica analysis of the Quality Measure Reporting (QMR) system reports for the FFY 2022 reporting cycle as of June 1, 2023.</t>
        </is>
      </c>
      <c r="H3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34" s="4" t="n">
        <v>0.627</v>
      </c>
      <c r="J34" s="4" t="n">
        <v>0.476</v>
      </c>
      <c r="K34" s="4" t="n">
        <v>0.697</v>
      </c>
      <c r="L34" s="4" t="n">
        <v>0.271</v>
      </c>
      <c r="M34" s="4" t="n">
        <v>0.426</v>
      </c>
      <c r="N34" s="4" t="n">
        <v>0.545</v>
      </c>
    </row>
    <row r="35">
      <c r="A35" t="inlineStr">
        <is>
          <t>Total (Ages 3 to 21)</t>
        </is>
      </c>
      <c r="B35" t="n">
        <v>2023</v>
      </c>
      <c r="C35" t="inlineStr">
        <is>
          <t>Medicaid only</t>
        </is>
      </c>
      <c r="D35" t="inlineStr">
        <is>
          <t>Administrative</t>
        </is>
      </c>
      <c r="E35" t="inlineStr">
        <is>
          <t>Percentage with at Least 1 Well-Care Visit with a Primary Care Practitioner or Obstetrician/Gynecologist: Ages 3 to 21</t>
        </is>
      </c>
      <c r="F35" t="inlineStr">
        <is>
          <t>Higher values are better</t>
        </is>
      </c>
      <c r="G35" t="inlineStr">
        <is>
          <t>Mathematica analysis of the Quality Measure Reporting (QMR) system reports for the 2023 Core Set as of May 16, 2024.</t>
        </is>
      </c>
      <c r="H3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35" s="4" t="n">
        <v>0.555</v>
      </c>
      <c r="J35" s="4" t="n">
        <v>0.453</v>
      </c>
      <c r="K35" s="4" t="n">
        <v>0.6850000000000001</v>
      </c>
      <c r="L35" s="4" t="n">
        <v>0.165</v>
      </c>
      <c r="M35" s="4" t="n">
        <v>0.428</v>
      </c>
      <c r="N35" s="4" t="n">
        <v>0.532</v>
      </c>
    </row>
    <row r="36">
      <c r="A36" t="inlineStr">
        <is>
          <t>Total (Ages 3 to 21)</t>
        </is>
      </c>
      <c r="B36" t="n">
        <v>2023</v>
      </c>
      <c r="C36" t="inlineStr">
        <is>
          <t>CHIP only</t>
        </is>
      </c>
      <c r="D36" t="inlineStr">
        <is>
          <t>Administrative</t>
        </is>
      </c>
      <c r="E36" t="inlineStr">
        <is>
          <t>Percentage with at Least 1 Well-Care Visit with a Primary Care Practitioner or Obstetrician/Gynecologist: Ages 3 to 21</t>
        </is>
      </c>
      <c r="F36" t="inlineStr">
        <is>
          <t>Higher values are better</t>
        </is>
      </c>
      <c r="G36" t="inlineStr">
        <is>
          <t>Mathematica analysis of the Quality Measure Reporting (QMR) system reports for the 2023 Core Set as of May 16, 2024.</t>
        </is>
      </c>
      <c r="H36"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36" s="4" t="n">
        <v>0.664</v>
      </c>
      <c r="J36" s="4" t="n">
        <v>0.453</v>
      </c>
      <c r="K36" s="4" t="n">
        <v>0.6850000000000001</v>
      </c>
      <c r="L36" s="4" t="n">
        <v>0.165</v>
      </c>
      <c r="M36" s="4" t="n">
        <v>0.428</v>
      </c>
      <c r="N36" s="4" t="n">
        <v>0.532</v>
      </c>
    </row>
    <row r="37">
      <c r="A37" t="inlineStr">
        <is>
          <t>Total (Ages 3 to 21)</t>
        </is>
      </c>
      <c r="B37" t="n">
        <v>2024</v>
      </c>
      <c r="C37" t="inlineStr">
        <is>
          <t>Medicaid (Title XIX), Title XXI-funded Medicaid Expansion CHIP, Separate CHIP (Title XXI)</t>
        </is>
      </c>
      <c r="D37" t="inlineStr">
        <is>
          <t>Administrative</t>
        </is>
      </c>
      <c r="E37" t="inlineStr">
        <is>
          <t>Percentage with at Least 1 Well-Care Visit with a Primary Care Practitioner or Obstetrician/Gynecologist: Ages 3 to 21</t>
        </is>
      </c>
      <c r="F37" t="inlineStr">
        <is>
          <t>Higher values are better</t>
        </is>
      </c>
      <c r="G37" t="inlineStr">
        <is>
          <t>Mathematica analysis of the Quality Measure Reporting (QMR) system reports for the 2024 Core Set as of April 28, 2025.</t>
        </is>
      </c>
      <c r="H37" t="inlineStr">
        <is>
          <t>State-specific comments: Rate combines the Medicaid and separate CHIP data reported by the state in the QMR system. See Medicaid and separate CHIP state-specific comments for information about the data reported for each population.</t>
        </is>
      </c>
      <c r="I37" s="4" t="n">
        <v>0.609</v>
      </c>
      <c r="J37" s="4" t="n">
        <v>0.492</v>
      </c>
      <c r="K37" s="4" t="n">
        <v>0.669</v>
      </c>
      <c r="L37" s="4" t="n">
        <v>0.173</v>
      </c>
      <c r="M37" s="4" t="n">
        <v>0.439</v>
      </c>
      <c r="N37" s="4" t="n">
        <v>0.544</v>
      </c>
    </row>
    <row r="38">
      <c r="A38" t="inlineStr">
        <is>
          <t>Total (Ages 3 to 21)</t>
        </is>
      </c>
      <c r="B38" t="n">
        <v>2024</v>
      </c>
      <c r="C38" t="inlineStr">
        <is>
          <t>Medicaid (Title XIX), Title XXI-funded Medicaid Expansion CHIP</t>
        </is>
      </c>
      <c r="D38" t="inlineStr">
        <is>
          <t>Administrative</t>
        </is>
      </c>
      <c r="E38" t="inlineStr">
        <is>
          <t>Percentage with at Least 1 Well-Care Visit with a Primary Care Practitioner or Obstetrician/Gynecologist: Ages 3 to 21</t>
        </is>
      </c>
      <c r="F38" t="inlineStr">
        <is>
          <t>Higher values are better</t>
        </is>
      </c>
      <c r="G38" t="inlineStr">
        <is>
          <t>Mathematica analysis of the Quality Measure Reporting (QMR) system reports for the 2024 Core Set as of April 28, 2025.</t>
        </is>
      </c>
      <c r="H3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38" s="4" t="n">
        <v>0.608</v>
      </c>
      <c r="J38" s="4" t="n">
        <v>0.492</v>
      </c>
      <c r="K38" s="4" t="n">
        <v>0.669</v>
      </c>
      <c r="L38" s="4" t="n">
        <v>0.173</v>
      </c>
      <c r="M38" s="4" t="n">
        <v>0.439</v>
      </c>
      <c r="N38" s="4" t="n">
        <v>0.544</v>
      </c>
    </row>
    <row r="39">
      <c r="A39" t="inlineStr">
        <is>
          <t>Total (Ages 3 to 21)</t>
        </is>
      </c>
      <c r="B39" t="n">
        <v>2024</v>
      </c>
      <c r="C39" t="inlineStr">
        <is>
          <t>Separate CHIP (Title XXI)</t>
        </is>
      </c>
      <c r="D39" t="inlineStr">
        <is>
          <t>Administrative</t>
        </is>
      </c>
      <c r="E39" t="inlineStr">
        <is>
          <t>Percentage with at Least 1 Well-Care Visit with a Primary Care Practitioner or Obstetrician/Gynecologist: Ages 3 to 21</t>
        </is>
      </c>
      <c r="F39" t="inlineStr">
        <is>
          <t>Higher values are better</t>
        </is>
      </c>
      <c r="G39" t="inlineStr">
        <is>
          <t>Mathematica analysis of the Quality Measure Reporting (QMR) system reports for the 2024 Core Set as of April 28, 2025.</t>
        </is>
      </c>
      <c r="H39"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39" s="4" t="n">
        <v>0.671</v>
      </c>
      <c r="J39" s="4" t="n">
        <v>0.492</v>
      </c>
      <c r="K39" s="4" t="n">
        <v>0.669</v>
      </c>
      <c r="L39" s="4" t="n">
        <v>0.173</v>
      </c>
      <c r="M39" s="4" t="n">
        <v>0.439</v>
      </c>
      <c r="N39" s="4" t="n">
        <v>0.544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cols>
    <col width="19" customWidth="1" min="1" max="1"/>
    <col width="13" customWidth="1" min="2" max="2"/>
    <col width="60" customWidth="1" min="3" max="3"/>
    <col width="25" customWidth="1" min="4" max="4"/>
    <col width="60" customWidth="1" min="5" max="5"/>
    <col width="60" customWidth="1" min="6" max="6"/>
    <col width="60" customWidth="1" min="7" max="7"/>
    <col width="1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Childhood Immunization Status: Age 2 (CIS-CH)</t>
        </is>
      </c>
    </row>
    <row r="2"/>
    <row r="3">
      <c r="A3" s="1" t="inlineStr">
        <is>
          <t>Immunization Type</t>
        </is>
      </c>
      <c r="B3" s="1" t="inlineStr">
        <is>
          <t>Data Period</t>
        </is>
      </c>
      <c r="C3" s="1" t="inlineStr">
        <is>
          <t>Population</t>
        </is>
      </c>
      <c r="D3" s="1" t="inlineStr">
        <is>
          <t>Methodology</t>
        </is>
      </c>
      <c r="E3" s="1" t="inlineStr">
        <is>
          <t>Value Type</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inlineStr">
        <is>
          <t>Combination 10</t>
        </is>
      </c>
      <c r="B4" t="n">
        <v>2021</v>
      </c>
      <c r="C4" t="inlineStr">
        <is>
          <t>Medicaid only</t>
        </is>
      </c>
      <c r="D4" t="inlineStr">
        <is>
          <t>Administrative</t>
        </is>
      </c>
      <c r="E4" t="inlineStr">
        <is>
          <t>Percentage Up to Date on Recommended Immunizations (Combination 10) by their Second Birthday</t>
        </is>
      </c>
      <c r="F4" t="inlineStr">
        <is>
          <t>Mathematica analysis of the Quality Measure Reporting (QMR) system reports for the FFY 2021 reporting cycle as of June 1, 2023.</t>
        </is>
      </c>
      <c r="G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4" s="4" t="n">
        <v>0.261</v>
      </c>
      <c r="I4" s="4" t="n">
        <v>0.357</v>
      </c>
      <c r="J4" s="4" t="n">
        <v>0.62</v>
      </c>
      <c r="K4" s="4" t="n">
        <v>0.016</v>
      </c>
      <c r="L4" s="4" t="n">
        <v>0.317</v>
      </c>
      <c r="M4" s="4" t="n">
        <v>0.426</v>
      </c>
    </row>
    <row r="5">
      <c r="A5" t="inlineStr">
        <is>
          <t>Combination 10</t>
        </is>
      </c>
      <c r="B5" t="n">
        <v>2021</v>
      </c>
      <c r="C5" t="inlineStr">
        <is>
          <t>CHIP only</t>
        </is>
      </c>
      <c r="D5" t="inlineStr">
        <is>
          <t>Administrative</t>
        </is>
      </c>
      <c r="E5" t="inlineStr">
        <is>
          <t>Percentage Up to Date on Recommended Immunizations (Combination 10) by their Second Birthday</t>
        </is>
      </c>
      <c r="F5" t="inlineStr">
        <is>
          <t>Mathematica analysis of the Quality Measure Reporting (QMR) system reports for the FFY 2021 reporting cycle as of June 1, 2023.</t>
        </is>
      </c>
      <c r="G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5" s="4" t="n">
        <v>0.377</v>
      </c>
      <c r="I5" s="4" t="n">
        <v>0.357</v>
      </c>
      <c r="J5" s="4" t="n">
        <v>0.62</v>
      </c>
      <c r="K5" s="4" t="n">
        <v>0.016</v>
      </c>
      <c r="L5" s="4" t="n">
        <v>0.317</v>
      </c>
      <c r="M5" s="4" t="n">
        <v>0.426</v>
      </c>
    </row>
    <row r="6">
      <c r="A6" t="inlineStr">
        <is>
          <t>Combination 10</t>
        </is>
      </c>
      <c r="B6" t="n">
        <v>2022</v>
      </c>
      <c r="C6" t="inlineStr">
        <is>
          <t>Medicaid only</t>
        </is>
      </c>
      <c r="D6" t="inlineStr">
        <is>
          <t>Administrative &amp; Hybrid</t>
        </is>
      </c>
      <c r="E6" t="inlineStr">
        <is>
          <t>Percentage Up to Date on Recommended Immunizations (Combination 10) by their Second Birthday</t>
        </is>
      </c>
      <c r="F6" t="inlineStr">
        <is>
          <t>Mathematica analysis of the Quality Measure Reporting (QMR) system reports for the FFY 2022 reporting cycle as of June 1, 2023.</t>
        </is>
      </c>
      <c r="G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Denominator is the measure-eligible population. Rates were audited or validated.</t>
        </is>
      </c>
      <c r="H6" s="4" t="n">
        <v>0.296</v>
      </c>
      <c r="I6" s="4" t="n">
        <v>0.329</v>
      </c>
      <c r="J6" s="4" t="n">
        <v>0.615</v>
      </c>
      <c r="K6" s="4" t="n">
        <v>0.002</v>
      </c>
      <c r="L6" s="4" t="n">
        <v>0.269</v>
      </c>
      <c r="M6" s="4" t="n">
        <v>0.392</v>
      </c>
    </row>
    <row r="7">
      <c r="A7" t="inlineStr">
        <is>
          <t>Combination 10</t>
        </is>
      </c>
      <c r="B7" t="n">
        <v>2022</v>
      </c>
      <c r="C7" t="inlineStr">
        <is>
          <t>CHIP only</t>
        </is>
      </c>
      <c r="D7" t="inlineStr">
        <is>
          <t>Hybrid</t>
        </is>
      </c>
      <c r="E7" t="inlineStr">
        <is>
          <t>Percentage Up to Date on Recommended Immunizations (Combination 10) by their Second Birthday</t>
        </is>
      </c>
      <c r="F7" t="inlineStr">
        <is>
          <t>Mathematica analysis of the Quality Measure Reporting (QMR) system reports for the FFY 2022 reporting cycle as of June 1, 2023.</t>
        </is>
      </c>
      <c r="G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H7" s="4" t="n">
        <v>0.402</v>
      </c>
      <c r="I7" s="4" t="n">
        <v>0.329</v>
      </c>
      <c r="J7" s="4" t="n">
        <v>0.615</v>
      </c>
      <c r="K7" s="4" t="n">
        <v>0.002</v>
      </c>
      <c r="L7" s="4" t="n">
        <v>0.269</v>
      </c>
      <c r="M7" s="4" t="n">
        <v>0.392</v>
      </c>
    </row>
    <row r="8">
      <c r="A8" t="inlineStr">
        <is>
          <t>Combination 10</t>
        </is>
      </c>
      <c r="B8" t="n">
        <v>2023</v>
      </c>
      <c r="C8" t="inlineStr">
        <is>
          <t>Medicaid only</t>
        </is>
      </c>
      <c r="D8" t="inlineStr">
        <is>
          <t>Administrative &amp; Hybrid</t>
        </is>
      </c>
      <c r="E8" t="inlineStr">
        <is>
          <t>Percentage Up to Date on Recommended Immunizations (Combination 10) by their Second Birthday</t>
        </is>
      </c>
      <c r="F8" t="inlineStr">
        <is>
          <t>Mathematica analysis of the Quality Measure Reporting (QMR) system reports for the 2023 Core Set as of May 16, 2024.</t>
        </is>
      </c>
      <c r="G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For FFY 2023 CIS (Medicaid Child), Texas State of Texas Access Reform (STAR) and STAR Kids used hybrid data collection method, while STAR Health and FFS contributed administrative data. Denominator is the measure-eligible population. Rates were audited or validated.</t>
        </is>
      </c>
      <c r="H8" s="4" t="n">
        <v>0.257</v>
      </c>
      <c r="I8" s="4" t="n">
        <v>0.286</v>
      </c>
      <c r="J8" s="4" t="n">
        <v>0.579</v>
      </c>
      <c r="K8" s="4" t="n">
        <v>0.002</v>
      </c>
      <c r="L8" s="4" t="n">
        <v>0.242</v>
      </c>
      <c r="M8" s="4" t="n">
        <v>0.361</v>
      </c>
    </row>
    <row r="9">
      <c r="A9" t="inlineStr">
        <is>
          <t>Combination 10</t>
        </is>
      </c>
      <c r="B9" t="n">
        <v>2023</v>
      </c>
      <c r="C9" t="inlineStr">
        <is>
          <t>CHIP only</t>
        </is>
      </c>
      <c r="D9" t="inlineStr"/>
      <c r="E9" t="inlineStr">
        <is>
          <t>Percentage Up to Date on Recommended Immunizations (Combination 10) by their Second Birthday</t>
        </is>
      </c>
      <c r="F9" t="inlineStr">
        <is>
          <t>Mathematica analysis of the Quality Measure Reporting (QMR) system reports for the 2023 Core Set as of May 16, 2024.</t>
        </is>
      </c>
      <c r="G9" t="inlineStr">
        <is>
          <t>State-specific comments: None</t>
        </is>
      </c>
      <c r="H9" t="inlineStr">
        <is>
          <t>Not Reported</t>
        </is>
      </c>
      <c r="I9" s="4" t="n">
        <v>0.286</v>
      </c>
      <c r="J9" s="4" t="n">
        <v>0.579</v>
      </c>
      <c r="K9" s="4" t="n">
        <v>0.002</v>
      </c>
      <c r="L9" s="4" t="n">
        <v>0.242</v>
      </c>
      <c r="M9" s="4" t="n">
        <v>0.361</v>
      </c>
    </row>
    <row r="10">
      <c r="A10" t="inlineStr">
        <is>
          <t>Combination 10</t>
        </is>
      </c>
      <c r="B10" t="n">
        <v>2024</v>
      </c>
      <c r="C10" t="inlineStr">
        <is>
          <t>Medicaid (Title XIX), Title XXI-funded Medicaid Expansion CHIP, Separate CHIP (Title XXI)</t>
        </is>
      </c>
      <c r="D10" t="inlineStr">
        <is>
          <t>Administrative &amp; Hybrid</t>
        </is>
      </c>
      <c r="E10" t="inlineStr">
        <is>
          <t>Percentage Up to Date on Recommended Immunizations (Combination 10) by their Second Birthday</t>
        </is>
      </c>
      <c r="F10" t="inlineStr">
        <is>
          <t>Mathematica analysis of the Quality Measure Reporting (QMR) system reports for the 2024 Core Set as of April 28, 2025.</t>
        </is>
      </c>
      <c r="G10" t="inlineStr">
        <is>
          <t>State-specific comments: Rate combines the Medicaid and separate CHIP data reported by the state in the QMR system. See Medicaid and separate CHIP state-specific comments for information about the data reported for each population.</t>
        </is>
      </c>
      <c r="H10" s="4" t="n">
        <v>0.24</v>
      </c>
      <c r="I10" s="4" t="n">
        <v>0.236</v>
      </c>
      <c r="J10" s="4" t="n">
        <v>0.53</v>
      </c>
      <c r="K10" s="4" t="n">
        <v>0.034</v>
      </c>
      <c r="L10" s="4" t="n">
        <v>0.178</v>
      </c>
      <c r="M10" s="4" t="n">
        <v>0.297</v>
      </c>
    </row>
    <row r="11">
      <c r="A11" t="inlineStr">
        <is>
          <t>Combination 10</t>
        </is>
      </c>
      <c r="B11" t="n">
        <v>2024</v>
      </c>
      <c r="C11" t="inlineStr">
        <is>
          <t>Medicaid (Title XIX), Title XXI-funded Medicaid Expansion CHIP</t>
        </is>
      </c>
      <c r="D11" t="inlineStr">
        <is>
          <t>Administrative &amp; Hybrid</t>
        </is>
      </c>
      <c r="E11" t="inlineStr">
        <is>
          <t>Percentage Up to Date on Recommended Immunizations (Combination 10) by their Second Birthday</t>
        </is>
      </c>
      <c r="F11" t="inlineStr">
        <is>
          <t>Mathematica analysis of the Quality Measure Reporting (QMR) system reports for the 2024 Core Set as of April 28, 2025.</t>
        </is>
      </c>
      <c r="G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Hybrid data was collected for State of Texas Access Reform (STAR) and STAR Kids, while STAR Health and FFS contributed administrative data. Rates were audited or validated.</t>
        </is>
      </c>
      <c r="H11" s="4" t="n">
        <v>0.24</v>
      </c>
      <c r="I11" s="4" t="n">
        <v>0.236</v>
      </c>
      <c r="J11" s="4" t="n">
        <v>0.53</v>
      </c>
      <c r="K11" s="4" t="n">
        <v>0.034</v>
      </c>
      <c r="L11" s="4" t="n">
        <v>0.178</v>
      </c>
      <c r="M11" s="4" t="n">
        <v>0.297</v>
      </c>
    </row>
    <row r="12">
      <c r="A12" t="inlineStr">
        <is>
          <t>Combination 10</t>
        </is>
      </c>
      <c r="B12" t="n">
        <v>2024</v>
      </c>
      <c r="C12" t="inlineStr">
        <is>
          <t>Separate CHIP (Title XXI)</t>
        </is>
      </c>
      <c r="D12" t="inlineStr">
        <is>
          <t>Administrative</t>
        </is>
      </c>
      <c r="E12" t="inlineStr">
        <is>
          <t>Percentage Up to Date on Recommended Immunizations (Combination 10) by their Second Birthday</t>
        </is>
      </c>
      <c r="F12" t="inlineStr">
        <is>
          <t>Mathematica analysis of the Quality Measure Reporting (QMR) system reports for the 2024 Core Set as of April 28, 2025.</t>
        </is>
      </c>
      <c r="G1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12" t="inlineStr">
        <is>
          <t>Data suppressed</t>
        </is>
      </c>
      <c r="I12" s="4" t="n">
        <v>0.236</v>
      </c>
      <c r="J12" s="4" t="n">
        <v>0.53</v>
      </c>
      <c r="K12" s="4" t="n">
        <v>0.034</v>
      </c>
      <c r="L12" s="4" t="n">
        <v>0.178</v>
      </c>
      <c r="M12" s="4" t="n">
        <v>0.297</v>
      </c>
    </row>
    <row r="13">
      <c r="A13" t="inlineStr">
        <is>
          <t>Combination 3</t>
        </is>
      </c>
      <c r="B13" t="n">
        <v>2021</v>
      </c>
      <c r="C13" t="inlineStr">
        <is>
          <t>Medicaid only</t>
        </is>
      </c>
      <c r="D13" t="inlineStr">
        <is>
          <t>Administrative</t>
        </is>
      </c>
      <c r="E13" t="inlineStr">
        <is>
          <t>Percentage Up to Date on Recommended Immunizations (Combination 3) by their Second Birthday</t>
        </is>
      </c>
      <c r="F13" t="inlineStr">
        <is>
          <t>Mathematica analysis of the Quality Measure Reporting (QMR) system reports for the FFY 2021 reporting cycle as of June 1, 2023.</t>
        </is>
      </c>
      <c r="G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13" s="4" t="n">
        <v>0.59</v>
      </c>
      <c r="I13" s="4" t="n">
        <v>0.669</v>
      </c>
      <c r="J13" s="4" t="n">
        <v>0.8</v>
      </c>
      <c r="K13" s="4" t="n">
        <v>0.076</v>
      </c>
      <c r="L13" s="4" t="n">
        <v>0.62</v>
      </c>
      <c r="M13" s="4" t="n">
        <v>0.704</v>
      </c>
    </row>
    <row r="14">
      <c r="A14" t="inlineStr">
        <is>
          <t>Combination 3</t>
        </is>
      </c>
      <c r="B14" t="n">
        <v>2021</v>
      </c>
      <c r="C14" t="inlineStr">
        <is>
          <t>CHIP only</t>
        </is>
      </c>
      <c r="D14" t="inlineStr">
        <is>
          <t>Administrative</t>
        </is>
      </c>
      <c r="E14" t="inlineStr">
        <is>
          <t>Percentage Up to Date on Recommended Immunizations (Combination 3) by their Second Birthday</t>
        </is>
      </c>
      <c r="F14" t="inlineStr">
        <is>
          <t>Mathematica analysis of the Quality Measure Reporting (QMR) system reports for the FFY 2021 reporting cycle as of June 1, 2023.</t>
        </is>
      </c>
      <c r="G1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14" s="4" t="n">
        <v>0.701</v>
      </c>
      <c r="I14" s="4" t="n">
        <v>0.669</v>
      </c>
      <c r="J14" s="4" t="n">
        <v>0.8</v>
      </c>
      <c r="K14" s="4" t="n">
        <v>0.076</v>
      </c>
      <c r="L14" s="4" t="n">
        <v>0.62</v>
      </c>
      <c r="M14" s="4" t="n">
        <v>0.704</v>
      </c>
    </row>
    <row r="15">
      <c r="A15" t="inlineStr">
        <is>
          <t>Combination 3</t>
        </is>
      </c>
      <c r="B15" t="n">
        <v>2022</v>
      </c>
      <c r="C15" t="inlineStr">
        <is>
          <t>Medicaid only</t>
        </is>
      </c>
      <c r="D15" t="inlineStr">
        <is>
          <t>Administrative &amp; Hybrid</t>
        </is>
      </c>
      <c r="E15" t="inlineStr">
        <is>
          <t>Percentage Up to Date on Recommended Immunizations (Combination 3) by their Second Birthday</t>
        </is>
      </c>
      <c r="F15" t="inlineStr">
        <is>
          <t>Mathematica analysis of the Quality Measure Reporting (QMR) system reports for the FFY 2022 reporting cycle as of June 1, 2023.</t>
        </is>
      </c>
      <c r="G1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Denominator is the measure-eligible population. Rates were audited or validated.</t>
        </is>
      </c>
      <c r="H15" s="4" t="n">
        <v>0.628</v>
      </c>
      <c r="I15" s="4" t="n">
        <v>0.615</v>
      </c>
      <c r="J15" s="4" t="n">
        <v>0.763</v>
      </c>
      <c r="K15" s="4" t="n">
        <v>0.023</v>
      </c>
      <c r="L15" s="4" t="n">
        <v>0.5639999999999999</v>
      </c>
      <c r="M15" s="4" t="n">
        <v>0.676</v>
      </c>
    </row>
    <row r="16">
      <c r="A16" t="inlineStr">
        <is>
          <t>Combination 3</t>
        </is>
      </c>
      <c r="B16" t="n">
        <v>2022</v>
      </c>
      <c r="C16" t="inlineStr">
        <is>
          <t>CHIP only</t>
        </is>
      </c>
      <c r="D16" t="inlineStr">
        <is>
          <t>Hybrid</t>
        </is>
      </c>
      <c r="E16" t="inlineStr">
        <is>
          <t>Percentage Up to Date on Recommended Immunizations (Combination 3) by their Second Birthday</t>
        </is>
      </c>
      <c r="F16" t="inlineStr">
        <is>
          <t>Mathematica analysis of the Quality Measure Reporting (QMR) system reports for the FFY 2022 reporting cycle as of June 1, 2023.</t>
        </is>
      </c>
      <c r="G16"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H16" s="4" t="n">
        <v>0.721</v>
      </c>
      <c r="I16" s="4" t="n">
        <v>0.615</v>
      </c>
      <c r="J16" s="4" t="n">
        <v>0.763</v>
      </c>
      <c r="K16" s="4" t="n">
        <v>0.023</v>
      </c>
      <c r="L16" s="4" t="n">
        <v>0.5639999999999999</v>
      </c>
      <c r="M16" s="4" t="n">
        <v>0.676</v>
      </c>
    </row>
    <row r="17">
      <c r="A17" t="inlineStr">
        <is>
          <t>Combination 3</t>
        </is>
      </c>
      <c r="B17" t="n">
        <v>2023</v>
      </c>
      <c r="C17" t="inlineStr">
        <is>
          <t>Medicaid only</t>
        </is>
      </c>
      <c r="D17" t="inlineStr">
        <is>
          <t>Administrative &amp; Hybrid</t>
        </is>
      </c>
      <c r="E17" t="inlineStr">
        <is>
          <t>Percentage Up to Date on Recommended Immunizations (Combination 3) by their Second Birthday</t>
        </is>
      </c>
      <c r="F17" t="inlineStr">
        <is>
          <t>Mathematica analysis of the Quality Measure Reporting (QMR) system reports for the 2023 Core Set as of May 16, 2024.</t>
        </is>
      </c>
      <c r="G1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For FFY 2023 CIS (Medicaid Child), Texas State of Texas Access Reform (STAR) and STAR Kids used hybrid data collection method, while STAR Health and FFS contributed administrative data. Denominator is the measure-eligible population. Rates were audited or validated.</t>
        </is>
      </c>
      <c r="H17" s="4" t="n">
        <v>0.622</v>
      </c>
      <c r="I17" s="4" t="n">
        <v>0.61</v>
      </c>
      <c r="J17" s="4" t="n">
        <v>0.795</v>
      </c>
      <c r="K17" s="4" t="n">
        <v>0.019</v>
      </c>
      <c r="L17" s="4" t="n">
        <v>0.576</v>
      </c>
      <c r="M17" s="4" t="n">
        <v>0.681</v>
      </c>
    </row>
    <row r="18">
      <c r="A18" t="inlineStr">
        <is>
          <t>Combination 3</t>
        </is>
      </c>
      <c r="B18" t="n">
        <v>2023</v>
      </c>
      <c r="C18" t="inlineStr">
        <is>
          <t>CHIP only</t>
        </is>
      </c>
      <c r="D18" t="inlineStr"/>
      <c r="E18" t="inlineStr">
        <is>
          <t>Percentage Up to Date on Recommended Immunizations (Combination 3) by their Second Birthday</t>
        </is>
      </c>
      <c r="F18" t="inlineStr">
        <is>
          <t>Mathematica analysis of the Quality Measure Reporting (QMR) system reports for the 2023 Core Set as of May 16, 2024.</t>
        </is>
      </c>
      <c r="G18" t="inlineStr">
        <is>
          <t>State-specific comments: None</t>
        </is>
      </c>
      <c r="H18" t="inlineStr">
        <is>
          <t>Not Reported</t>
        </is>
      </c>
      <c r="I18" s="4" t="n">
        <v>0.61</v>
      </c>
      <c r="J18" s="4" t="n">
        <v>0.795</v>
      </c>
      <c r="K18" s="4" t="n">
        <v>0.019</v>
      </c>
      <c r="L18" s="4" t="n">
        <v>0.576</v>
      </c>
      <c r="M18" s="4" t="n">
        <v>0.681</v>
      </c>
    </row>
    <row r="19">
      <c r="A19" t="inlineStr">
        <is>
          <t>Combination 3</t>
        </is>
      </c>
      <c r="B19" t="n">
        <v>2024</v>
      </c>
      <c r="C19" t="inlineStr">
        <is>
          <t>Medicaid (Title XIX), Title XXI-funded Medicaid Expansion CHIP, Separate CHIP (Title XXI)</t>
        </is>
      </c>
      <c r="D19" t="inlineStr">
        <is>
          <t>Administrative &amp; Hybrid</t>
        </is>
      </c>
      <c r="E19" t="inlineStr">
        <is>
          <t>Percentage Up to Date on Recommended Immunizations (Combination 3) by their Second Birthday</t>
        </is>
      </c>
      <c r="F19" t="inlineStr">
        <is>
          <t>Mathematica analysis of the Quality Measure Reporting (QMR) system reports for the 2024 Core Set as of April 28, 2025.</t>
        </is>
      </c>
      <c r="G19" t="inlineStr">
        <is>
          <t>State-specific comments: Rate combines the Medicaid and separate CHIP data reported by the state in the QMR system. See Medicaid and separate CHIP state-specific comments for information about the data reported for each population.</t>
        </is>
      </c>
      <c r="H19" s="4" t="n">
        <v>0.629</v>
      </c>
      <c r="I19" s="4" t="n">
        <v>0.581</v>
      </c>
      <c r="J19" s="4" t="n">
        <v>0.769</v>
      </c>
      <c r="K19" s="4" t="n">
        <v>0.046</v>
      </c>
      <c r="L19" s="4" t="n">
        <v>0.481</v>
      </c>
      <c r="M19" s="4" t="n">
        <v>0.653</v>
      </c>
    </row>
    <row r="20">
      <c r="A20" t="inlineStr">
        <is>
          <t>Combination 3</t>
        </is>
      </c>
      <c r="B20" t="n">
        <v>2024</v>
      </c>
      <c r="C20" t="inlineStr">
        <is>
          <t>Medicaid (Title XIX), Title XXI-funded Medicaid Expansion CHIP</t>
        </is>
      </c>
      <c r="D20" t="inlineStr">
        <is>
          <t>Administrative &amp; Hybrid</t>
        </is>
      </c>
      <c r="E20" t="inlineStr">
        <is>
          <t>Percentage Up to Date on Recommended Immunizations (Combination 3) by their Second Birthday</t>
        </is>
      </c>
      <c r="F20" t="inlineStr">
        <is>
          <t>Mathematica analysis of the Quality Measure Reporting (QMR) system reports for the 2024 Core Set as of April 28, 2025.</t>
        </is>
      </c>
      <c r="G2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Hybrid data was collected for State of Texas Access Reform (STAR) and STAR Kids, while STAR Health and FFS contributed administrative data. Rates were audited or validated.</t>
        </is>
      </c>
      <c r="H20" s="4" t="n">
        <v>0.629</v>
      </c>
      <c r="I20" s="4" t="n">
        <v>0.581</v>
      </c>
      <c r="J20" s="4" t="n">
        <v>0.769</v>
      </c>
      <c r="K20" s="4" t="n">
        <v>0.046</v>
      </c>
      <c r="L20" s="4" t="n">
        <v>0.481</v>
      </c>
      <c r="M20" s="4" t="n">
        <v>0.653</v>
      </c>
    </row>
    <row r="21">
      <c r="A21" t="inlineStr">
        <is>
          <t>Combination 3</t>
        </is>
      </c>
      <c r="B21" t="n">
        <v>2024</v>
      </c>
      <c r="C21" t="inlineStr">
        <is>
          <t>Separate CHIP (Title XXI)</t>
        </is>
      </c>
      <c r="D21" t="inlineStr">
        <is>
          <t>Administrative</t>
        </is>
      </c>
      <c r="E21" t="inlineStr">
        <is>
          <t>Percentage Up to Date on Recommended Immunizations (Combination 3) by their Second Birthday</t>
        </is>
      </c>
      <c r="F21" t="inlineStr">
        <is>
          <t>Mathematica analysis of the Quality Measure Reporting (QMR) system reports for the 2024 Core Set as of April 28, 2025.</t>
        </is>
      </c>
      <c r="G21"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21" t="inlineStr">
        <is>
          <t>Data suppressed</t>
        </is>
      </c>
      <c r="I21" s="4" t="n">
        <v>0.581</v>
      </c>
      <c r="J21" s="4" t="n">
        <v>0.769</v>
      </c>
      <c r="K21" s="4" t="n">
        <v>0.046</v>
      </c>
      <c r="L21" s="4" t="n">
        <v>0.481</v>
      </c>
      <c r="M21" s="4" t="n">
        <v>0.653</v>
      </c>
    </row>
    <row r="22">
      <c r="A22" t="inlineStr">
        <is>
          <t>Flu</t>
        </is>
      </c>
      <c r="B22" t="n">
        <v>2021</v>
      </c>
      <c r="C22" t="inlineStr">
        <is>
          <t>Medicaid only</t>
        </is>
      </c>
      <c r="D22" t="inlineStr">
        <is>
          <t>Administrative</t>
        </is>
      </c>
      <c r="E22" t="inlineStr">
        <is>
          <t>Percentage who had at Least Two Flu Vaccinations by their Second Birthday</t>
        </is>
      </c>
      <c r="F22" t="inlineStr">
        <is>
          <t>Mathematica analysis of the Quality Measure Reporting (QMR) system reports for the FFY 2021 reporting cycle as of June 1, 2023.</t>
        </is>
      </c>
      <c r="G22"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22" s="4" t="n">
        <v>0.383</v>
      </c>
      <c r="I22" s="4" t="n">
        <v>0.496</v>
      </c>
      <c r="J22" s="4" t="n">
        <v>0.888</v>
      </c>
      <c r="K22" s="4" t="n">
        <v>0.08400000000000001</v>
      </c>
      <c r="L22" s="4" t="n">
        <v>0.422</v>
      </c>
      <c r="M22" s="4" t="n">
        <v>0.5580000000000001</v>
      </c>
    </row>
    <row r="23">
      <c r="A23" t="inlineStr">
        <is>
          <t>Flu</t>
        </is>
      </c>
      <c r="B23" t="n">
        <v>2021</v>
      </c>
      <c r="C23" t="inlineStr">
        <is>
          <t>CHIP only</t>
        </is>
      </c>
      <c r="D23" t="inlineStr">
        <is>
          <t>Administrative</t>
        </is>
      </c>
      <c r="E23" t="inlineStr">
        <is>
          <t>Percentage who had at Least Two Flu Vaccinations by their Second Birthday</t>
        </is>
      </c>
      <c r="F23" t="inlineStr">
        <is>
          <t>Mathematica analysis of the Quality Measure Reporting (QMR) system reports for the FFY 2021 reporting cycle as of June 1, 2023.</t>
        </is>
      </c>
      <c r="G23"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23" s="4" t="n">
        <v>0.501</v>
      </c>
      <c r="I23" s="4" t="n">
        <v>0.496</v>
      </c>
      <c r="J23" s="4" t="n">
        <v>0.888</v>
      </c>
      <c r="K23" s="4" t="n">
        <v>0.08400000000000001</v>
      </c>
      <c r="L23" s="4" t="n">
        <v>0.422</v>
      </c>
      <c r="M23" s="4" t="n">
        <v>0.5580000000000001</v>
      </c>
    </row>
    <row r="24">
      <c r="A24" t="inlineStr">
        <is>
          <t>Flu</t>
        </is>
      </c>
      <c r="B24" t="n">
        <v>2022</v>
      </c>
      <c r="C24" t="inlineStr">
        <is>
          <t>Medicaid only</t>
        </is>
      </c>
      <c r="D24" t="inlineStr">
        <is>
          <t>Administrative &amp; Hybrid</t>
        </is>
      </c>
      <c r="E24" t="inlineStr">
        <is>
          <t>Percentage who had at Least Two Flu Vaccinations by their Second Birthday</t>
        </is>
      </c>
      <c r="F24" t="inlineStr">
        <is>
          <t>Mathematica analysis of the Quality Measure Reporting (QMR) system reports for the FFY 2022 reporting cycle as of June 1, 2023.</t>
        </is>
      </c>
      <c r="G2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Denominator is the measure-eligible population. Rates were audited or validated.</t>
        </is>
      </c>
      <c r="H24" s="4" t="n">
        <v>0.395</v>
      </c>
      <c r="I24" s="4" t="n">
        <v>0.457</v>
      </c>
      <c r="J24" s="4" t="n">
        <v>0.724</v>
      </c>
      <c r="K24" s="4" t="n">
        <v>0.052</v>
      </c>
      <c r="L24" s="4" t="n">
        <v>0.371</v>
      </c>
      <c r="M24" s="4" t="n">
        <v>0.522</v>
      </c>
    </row>
    <row r="25">
      <c r="A25" t="inlineStr">
        <is>
          <t>Flu</t>
        </is>
      </c>
      <c r="B25" t="n">
        <v>2022</v>
      </c>
      <c r="C25" t="inlineStr">
        <is>
          <t>CHIP only</t>
        </is>
      </c>
      <c r="D25" t="inlineStr">
        <is>
          <t>Hybrid</t>
        </is>
      </c>
      <c r="E25" t="inlineStr">
        <is>
          <t>Percentage who had at Least Two Flu Vaccinations by their Second Birthday</t>
        </is>
      </c>
      <c r="F25" t="inlineStr">
        <is>
          <t>Mathematica analysis of the Quality Measure Reporting (QMR) system reports for the FFY 2022 reporting cycle as of June 1, 2023.</t>
        </is>
      </c>
      <c r="G2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H25" s="4" t="n">
        <v>0.527</v>
      </c>
      <c r="I25" s="4" t="n">
        <v>0.457</v>
      </c>
      <c r="J25" s="4" t="n">
        <v>0.724</v>
      </c>
      <c r="K25" s="4" t="n">
        <v>0.052</v>
      </c>
      <c r="L25" s="4" t="n">
        <v>0.371</v>
      </c>
      <c r="M25" s="4" t="n">
        <v>0.522</v>
      </c>
    </row>
    <row r="26">
      <c r="A26" t="inlineStr">
        <is>
          <t>Flu</t>
        </is>
      </c>
      <c r="B26" t="n">
        <v>2023</v>
      </c>
      <c r="C26" t="inlineStr">
        <is>
          <t>Medicaid only</t>
        </is>
      </c>
      <c r="D26" t="inlineStr">
        <is>
          <t>Administrative &amp; Hybrid</t>
        </is>
      </c>
      <c r="E26" t="inlineStr">
        <is>
          <t>Percentage who had at Least Two Flu Vaccinations by their Second Birthday</t>
        </is>
      </c>
      <c r="F26" t="inlineStr">
        <is>
          <t>Mathematica analysis of the Quality Measure Reporting (QMR) system reports for the 2023 Core Set as of May 16, 2024.</t>
        </is>
      </c>
      <c r="G2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For FFY 2023 CIS (Medicaid Child), Texas State of Texas Access Reform (STAR) and STAR Kids used hybrid data collection method, while STAR Health and FFS contributed administrative data. Denominator is the measure-eligible population. Rates were audited or validated.</t>
        </is>
      </c>
      <c r="H26" s="4" t="n">
        <v>0.342</v>
      </c>
      <c r="I26" s="4" t="n">
        <v>0.402</v>
      </c>
      <c r="J26" s="4" t="n">
        <v>0.664</v>
      </c>
      <c r="K26" s="4" t="n">
        <v>0.08799999999999999</v>
      </c>
      <c r="L26" s="4" t="n">
        <v>0.319</v>
      </c>
      <c r="M26" s="4" t="n">
        <v>0.479</v>
      </c>
    </row>
    <row r="27">
      <c r="A27" t="inlineStr">
        <is>
          <t>Flu</t>
        </is>
      </c>
      <c r="B27" t="n">
        <v>2023</v>
      </c>
      <c r="C27" t="inlineStr">
        <is>
          <t>CHIP only</t>
        </is>
      </c>
      <c r="D27" t="inlineStr"/>
      <c r="E27" t="inlineStr">
        <is>
          <t>Percentage who had at Least Two Flu Vaccinations by their Second Birthday</t>
        </is>
      </c>
      <c r="F27" t="inlineStr">
        <is>
          <t>Mathematica analysis of the Quality Measure Reporting (QMR) system reports for the 2023 Core Set as of May 16, 2024.</t>
        </is>
      </c>
      <c r="G27" t="inlineStr">
        <is>
          <t>State-specific comments: None</t>
        </is>
      </c>
      <c r="H27" t="inlineStr">
        <is>
          <t>Not Reported</t>
        </is>
      </c>
      <c r="I27" s="4" t="n">
        <v>0.402</v>
      </c>
      <c r="J27" s="4" t="n">
        <v>0.664</v>
      </c>
      <c r="K27" s="4" t="n">
        <v>0.08799999999999999</v>
      </c>
      <c r="L27" s="4" t="n">
        <v>0.319</v>
      </c>
      <c r="M27" s="4" t="n">
        <v>0.479</v>
      </c>
    </row>
    <row r="28">
      <c r="A28" t="inlineStr">
        <is>
          <t>Flu</t>
        </is>
      </c>
      <c r="B28" t="n">
        <v>2024</v>
      </c>
      <c r="C28" t="inlineStr">
        <is>
          <t>Medicaid (Title XIX), Title XXI-funded Medicaid Expansion CHIP, Separate CHIP (Title XXI)</t>
        </is>
      </c>
      <c r="D28" t="inlineStr">
        <is>
          <t>Administrative &amp; Hybrid</t>
        </is>
      </c>
      <c r="E28" t="inlineStr">
        <is>
          <t>Percentage who had at Least Two Flu Vaccinations by their Second Birthday</t>
        </is>
      </c>
      <c r="F28" t="inlineStr">
        <is>
          <t>Mathematica analysis of the Quality Measure Reporting (QMR) system reports for the 2024 Core Set as of April 28, 2025.</t>
        </is>
      </c>
      <c r="G28" t="inlineStr">
        <is>
          <t>State-specific comments: Rate combines the Medicaid and separate CHIP data reported by the state in the QMR system. See Medicaid and separate CHIP state-specific comments for information about the data reported for each population.</t>
        </is>
      </c>
      <c r="H28" s="4" t="n">
        <v>0.315</v>
      </c>
      <c r="I28" s="4" t="n">
        <v>0.32</v>
      </c>
      <c r="J28" s="4" t="n">
        <v>0.64</v>
      </c>
      <c r="K28" s="4" t="n">
        <v>0.078</v>
      </c>
      <c r="L28" s="4" t="n">
        <v>0.273</v>
      </c>
      <c r="M28" s="4" t="n">
        <v>0.408</v>
      </c>
    </row>
    <row r="29">
      <c r="A29" t="inlineStr">
        <is>
          <t>Flu</t>
        </is>
      </c>
      <c r="B29" t="n">
        <v>2024</v>
      </c>
      <c r="C29" t="inlineStr">
        <is>
          <t>Medicaid (Title XIX), Title XXI-funded Medicaid Expansion CHIP</t>
        </is>
      </c>
      <c r="D29" t="inlineStr">
        <is>
          <t>Administrative &amp; Hybrid</t>
        </is>
      </c>
      <c r="E29" t="inlineStr">
        <is>
          <t>Percentage who had at Least Two Flu Vaccinations by their Second Birthday</t>
        </is>
      </c>
      <c r="F29" t="inlineStr">
        <is>
          <t>Mathematica analysis of the Quality Measure Reporting (QMR) system reports for the 2024 Core Set as of April 28, 2025.</t>
        </is>
      </c>
      <c r="G29"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Hybrid data was collected for State of Texas Access Reform (STAR) and STAR Kids, while STAR Health and FFS contributed administrative data. Rates were audited or validated.</t>
        </is>
      </c>
      <c r="H29" s="4" t="n">
        <v>0.315</v>
      </c>
      <c r="I29" s="4" t="n">
        <v>0.32</v>
      </c>
      <c r="J29" s="4" t="n">
        <v>0.64</v>
      </c>
      <c r="K29" s="4" t="n">
        <v>0.078</v>
      </c>
      <c r="L29" s="4" t="n">
        <v>0.273</v>
      </c>
      <c r="M29" s="4" t="n">
        <v>0.408</v>
      </c>
    </row>
    <row r="30">
      <c r="A30" t="inlineStr">
        <is>
          <t>Flu</t>
        </is>
      </c>
      <c r="B30" t="n">
        <v>2024</v>
      </c>
      <c r="C30" t="inlineStr">
        <is>
          <t>Separate CHIP (Title XXI)</t>
        </is>
      </c>
      <c r="D30" t="inlineStr">
        <is>
          <t>Administrative</t>
        </is>
      </c>
      <c r="E30" t="inlineStr">
        <is>
          <t>Percentage who had at Least Two Flu Vaccinations by their Second Birthday</t>
        </is>
      </c>
      <c r="F30" t="inlineStr">
        <is>
          <t>Mathematica analysis of the Quality Measure Reporting (QMR) system reports for the 2024 Core Set as of April 28, 2025.</t>
        </is>
      </c>
      <c r="G30"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30" t="inlineStr">
        <is>
          <t>Data suppressed</t>
        </is>
      </c>
      <c r="I30" s="4" t="n">
        <v>0.32</v>
      </c>
      <c r="J30" s="4" t="n">
        <v>0.64</v>
      </c>
      <c r="K30" s="4" t="n">
        <v>0.078</v>
      </c>
      <c r="L30" s="4" t="n">
        <v>0.273</v>
      </c>
      <c r="M30" s="4" t="n">
        <v>0.408</v>
      </c>
    </row>
    <row r="31">
      <c r="A31" t="inlineStr">
        <is>
          <t>MMR</t>
        </is>
      </c>
      <c r="B31" t="n">
        <v>2021</v>
      </c>
      <c r="C31" t="inlineStr">
        <is>
          <t>Medicaid only</t>
        </is>
      </c>
      <c r="D31" t="inlineStr">
        <is>
          <t>Administrative</t>
        </is>
      </c>
      <c r="E31" t="inlineStr">
        <is>
          <t>Percentage who had a Measles, Mumps, and Rubella (MMR) Vaccination by their Second Birthday</t>
        </is>
      </c>
      <c r="F31" t="inlineStr">
        <is>
          <t>Mathematica analysis of the Quality Measure Reporting (QMR) system reports for the FFY 2021 reporting cycle as of June 1, 2023.</t>
        </is>
      </c>
      <c r="G3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31" s="4" t="n">
        <v>0.879</v>
      </c>
      <c r="I31" s="4" t="n">
        <v>0.866</v>
      </c>
      <c r="J31" s="4" t="n">
        <v>0.919</v>
      </c>
      <c r="K31" s="4" t="n">
        <v>0.498</v>
      </c>
      <c r="L31" s="4" t="n">
        <v>0.845</v>
      </c>
      <c r="M31" s="4" t="n">
        <v>0.892</v>
      </c>
    </row>
    <row r="32">
      <c r="A32" t="inlineStr">
        <is>
          <t>MMR</t>
        </is>
      </c>
      <c r="B32" t="n">
        <v>2021</v>
      </c>
      <c r="C32" t="inlineStr">
        <is>
          <t>CHIP only</t>
        </is>
      </c>
      <c r="D32" t="inlineStr">
        <is>
          <t>Administrative</t>
        </is>
      </c>
      <c r="E32" t="inlineStr">
        <is>
          <t>Percentage who had a Measles, Mumps, and Rubella (MMR) Vaccination by their Second Birthday</t>
        </is>
      </c>
      <c r="F32" t="inlineStr">
        <is>
          <t>Mathematica analysis of the Quality Measure Reporting (QMR) system reports for the FFY 2021 reporting cycle as of June 1, 2023.</t>
        </is>
      </c>
      <c r="G32"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32" s="4" t="n">
        <v>0.92</v>
      </c>
      <c r="I32" s="4" t="n">
        <v>0.866</v>
      </c>
      <c r="J32" s="4" t="n">
        <v>0.919</v>
      </c>
      <c r="K32" s="4" t="n">
        <v>0.498</v>
      </c>
      <c r="L32" s="4" t="n">
        <v>0.845</v>
      </c>
      <c r="M32" s="4" t="n">
        <v>0.892</v>
      </c>
    </row>
    <row r="33">
      <c r="A33" t="inlineStr">
        <is>
          <t>MMR</t>
        </is>
      </c>
      <c r="B33" t="n">
        <v>2022</v>
      </c>
      <c r="C33" t="inlineStr">
        <is>
          <t>Medicaid only</t>
        </is>
      </c>
      <c r="D33" t="inlineStr">
        <is>
          <t>Administrative &amp; Hybrid</t>
        </is>
      </c>
      <c r="E33" t="inlineStr">
        <is>
          <t>Percentage who had a Measles, Mumps, and Rubella (MMR) Vaccination by their Second Birthday</t>
        </is>
      </c>
      <c r="F33" t="inlineStr">
        <is>
          <t>Mathematica analysis of the Quality Measure Reporting (QMR) system reports for the FFY 2022 reporting cycle as of June 1, 2023.</t>
        </is>
      </c>
      <c r="G3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Denominator is the measure-eligible population. Rates were audited or validated.</t>
        </is>
      </c>
      <c r="H33" s="4" t="n">
        <v>0.847</v>
      </c>
      <c r="I33" s="4" t="n">
        <v>0.82</v>
      </c>
      <c r="J33" s="4" t="n">
        <v>0.9</v>
      </c>
      <c r="K33" s="4" t="n">
        <v>0.532</v>
      </c>
      <c r="L33" s="4" t="n">
        <v>0.784</v>
      </c>
      <c r="M33" s="4" t="n">
        <v>0.849</v>
      </c>
    </row>
    <row r="34">
      <c r="A34" t="inlineStr">
        <is>
          <t>MMR</t>
        </is>
      </c>
      <c r="B34" t="n">
        <v>2022</v>
      </c>
      <c r="C34" t="inlineStr">
        <is>
          <t>CHIP only</t>
        </is>
      </c>
      <c r="D34" t="inlineStr">
        <is>
          <t>Hybrid</t>
        </is>
      </c>
      <c r="E34" t="inlineStr">
        <is>
          <t>Percentage who had a Measles, Mumps, and Rubella (MMR) Vaccination by their Second Birthday</t>
        </is>
      </c>
      <c r="F34" t="inlineStr">
        <is>
          <t>Mathematica analysis of the Quality Measure Reporting (QMR) system reports for the FFY 2022 reporting cycle as of June 1, 2023.</t>
        </is>
      </c>
      <c r="G3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H34" s="4" t="n">
        <v>0.909</v>
      </c>
      <c r="I34" s="4" t="n">
        <v>0.82</v>
      </c>
      <c r="J34" s="4" t="n">
        <v>0.9</v>
      </c>
      <c r="K34" s="4" t="n">
        <v>0.532</v>
      </c>
      <c r="L34" s="4" t="n">
        <v>0.784</v>
      </c>
      <c r="M34" s="4" t="n">
        <v>0.849</v>
      </c>
    </row>
    <row r="35">
      <c r="A35" t="inlineStr">
        <is>
          <t>MMR</t>
        </is>
      </c>
      <c r="B35" t="n">
        <v>2023</v>
      </c>
      <c r="C35" t="inlineStr">
        <is>
          <t>Medicaid only</t>
        </is>
      </c>
      <c r="D35" t="inlineStr">
        <is>
          <t>Administrative &amp; Hybrid</t>
        </is>
      </c>
      <c r="E35" t="inlineStr">
        <is>
          <t>Percentage who had a Measles, Mumps, and Rubella (MMR) Vaccination by their Second Birthday</t>
        </is>
      </c>
      <c r="F35" t="inlineStr">
        <is>
          <t>Mathematica analysis of the Quality Measure Reporting (QMR) system reports for the 2023 Core Set as of May 16, 2024.</t>
        </is>
      </c>
      <c r="G3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For FFY 2023 CIS (Medicaid Child), Texas State of Texas Access Reform (STAR) and STAR Kids used hybrid data collection method, while STAR Health and FFS contributed administrative data. Denominator is the measure-eligible population. Rates were audited or validated.</t>
        </is>
      </c>
      <c r="H35" s="4" t="n">
        <v>0.848</v>
      </c>
      <c r="I35" s="4" t="n">
        <v>0.826</v>
      </c>
      <c r="J35" s="4" t="n">
        <v>0.915</v>
      </c>
      <c r="K35" s="4" t="n">
        <v>0.639</v>
      </c>
      <c r="L35" s="4" t="n">
        <v>0.794</v>
      </c>
      <c r="M35" s="4" t="n">
        <v>0.855</v>
      </c>
    </row>
    <row r="36">
      <c r="A36" t="inlineStr">
        <is>
          <t>MMR</t>
        </is>
      </c>
      <c r="B36" t="n">
        <v>2023</v>
      </c>
      <c r="C36" t="inlineStr">
        <is>
          <t>CHIP only</t>
        </is>
      </c>
      <c r="D36" t="inlineStr"/>
      <c r="E36" t="inlineStr">
        <is>
          <t>Percentage who had a Measles, Mumps, and Rubella (MMR) Vaccination by their Second Birthday</t>
        </is>
      </c>
      <c r="F36" t="inlineStr">
        <is>
          <t>Mathematica analysis of the Quality Measure Reporting (QMR) system reports for the 2023 Core Set as of May 16, 2024.</t>
        </is>
      </c>
      <c r="G36" t="inlineStr">
        <is>
          <t>State-specific comments: None</t>
        </is>
      </c>
      <c r="H36" t="inlineStr">
        <is>
          <t>Not Reported</t>
        </is>
      </c>
      <c r="I36" s="4" t="n">
        <v>0.826</v>
      </c>
      <c r="J36" s="4" t="n">
        <v>0.915</v>
      </c>
      <c r="K36" s="4" t="n">
        <v>0.639</v>
      </c>
      <c r="L36" s="4" t="n">
        <v>0.794</v>
      </c>
      <c r="M36" s="4" t="n">
        <v>0.855</v>
      </c>
    </row>
    <row r="37">
      <c r="A37" t="inlineStr">
        <is>
          <t>MMR</t>
        </is>
      </c>
      <c r="B37" t="n">
        <v>2024</v>
      </c>
      <c r="C37" t="inlineStr">
        <is>
          <t>Medicaid (Title XIX), Title XXI-funded Medicaid Expansion CHIP, Separate CHIP (Title XXI)</t>
        </is>
      </c>
      <c r="D37" t="inlineStr">
        <is>
          <t>Administrative &amp; Hybrid</t>
        </is>
      </c>
      <c r="E37" t="inlineStr">
        <is>
          <t>Percentage who had a Measles, Mumps, and Rubella (MMR) Vaccination by their Second Birthday</t>
        </is>
      </c>
      <c r="F37" t="inlineStr">
        <is>
          <t>Mathematica analysis of the Quality Measure Reporting (QMR) system reports for the 2024 Core Set as of April 28, 2025.</t>
        </is>
      </c>
      <c r="G37" t="inlineStr">
        <is>
          <t>State-specific comments: Rate combines the Medicaid and separate CHIP data reported by the state in the QMR system. See Medicaid and separate CHIP state-specific comments for information about the data reported for each population.</t>
        </is>
      </c>
      <c r="H37" s="4" t="n">
        <v>0.855</v>
      </c>
      <c r="I37" s="4" t="n">
        <v>0.819</v>
      </c>
      <c r="J37" s="4" t="n">
        <v>0.909</v>
      </c>
      <c r="K37" s="4" t="n">
        <v>0.207</v>
      </c>
      <c r="L37" s="4" t="n">
        <v>0.751</v>
      </c>
      <c r="M37" s="4" t="n">
        <v>0.845</v>
      </c>
    </row>
    <row r="38">
      <c r="A38" t="inlineStr">
        <is>
          <t>MMR</t>
        </is>
      </c>
      <c r="B38" t="n">
        <v>2024</v>
      </c>
      <c r="C38" t="inlineStr">
        <is>
          <t>Medicaid (Title XIX), Title XXI-funded Medicaid Expansion CHIP</t>
        </is>
      </c>
      <c r="D38" t="inlineStr">
        <is>
          <t>Administrative &amp; Hybrid</t>
        </is>
      </c>
      <c r="E38" t="inlineStr">
        <is>
          <t>Percentage who had a Measles, Mumps, and Rubella (MMR) Vaccination by their Second Birthday</t>
        </is>
      </c>
      <c r="F38" t="inlineStr">
        <is>
          <t>Mathematica analysis of the Quality Measure Reporting (QMR) system reports for the 2024 Core Set as of April 28, 2025.</t>
        </is>
      </c>
      <c r="G3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Hybrid data was collected for State of Texas Access Reform (STAR) and STAR Kids, while STAR Health and FFS contributed administrative data. Rates were audited or validated.</t>
        </is>
      </c>
      <c r="H38" s="4" t="n">
        <v>0.855</v>
      </c>
      <c r="I38" s="4" t="n">
        <v>0.819</v>
      </c>
      <c r="J38" s="4" t="n">
        <v>0.909</v>
      </c>
      <c r="K38" s="4" t="n">
        <v>0.207</v>
      </c>
      <c r="L38" s="4" t="n">
        <v>0.751</v>
      </c>
      <c r="M38" s="4" t="n">
        <v>0.845</v>
      </c>
    </row>
    <row r="39">
      <c r="A39" t="inlineStr">
        <is>
          <t>MMR</t>
        </is>
      </c>
      <c r="B39" t="n">
        <v>2024</v>
      </c>
      <c r="C39" t="inlineStr">
        <is>
          <t>Separate CHIP (Title XXI)</t>
        </is>
      </c>
      <c r="D39" t="inlineStr">
        <is>
          <t>Administrative</t>
        </is>
      </c>
      <c r="E39" t="inlineStr">
        <is>
          <t>Percentage who had a Measles, Mumps, and Rubella (MMR) Vaccination by their Second Birthday</t>
        </is>
      </c>
      <c r="F39" t="inlineStr">
        <is>
          <t>Mathematica analysis of the Quality Measure Reporting (QMR) system reports for the 2024 Core Set as of April 28, 2025.</t>
        </is>
      </c>
      <c r="G39"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39" t="inlineStr">
        <is>
          <t>Data suppressed</t>
        </is>
      </c>
      <c r="I39" s="4" t="n">
        <v>0.819</v>
      </c>
      <c r="J39" s="4" t="n">
        <v>0.909</v>
      </c>
      <c r="K39" s="4" t="n">
        <v>0.207</v>
      </c>
      <c r="L39" s="4" t="n">
        <v>0.751</v>
      </c>
      <c r="M39" s="4" t="n">
        <v>0.845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Chlamydia Screening in Women Ages 16 to 20 (CHL-CH)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only</t>
        </is>
      </c>
      <c r="C4" t="inlineStr">
        <is>
          <t>Administrative</t>
        </is>
      </c>
      <c r="D4" t="inlineStr">
        <is>
          <t>Percentage of Sexually Active Women Screened for Chlamydia: Ages 16 to 20</t>
        </is>
      </c>
      <c r="E4" t="inlineStr">
        <is>
          <t>Higher values are better</t>
        </is>
      </c>
      <c r="F4" t="inlineStr">
        <is>
          <t>Mathematica analysis of the Quality Measure Reporting (QMR) system reports for the FFY 2021 reporting cycle as of June 1, 2023.</t>
        </is>
      </c>
      <c r="G4"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4" t="n">
        <v>0.484</v>
      </c>
      <c r="I4" s="4" t="n">
        <v>0.467</v>
      </c>
      <c r="J4" s="4" t="n">
        <v>0.724</v>
      </c>
      <c r="K4" s="4" t="n">
        <v>0.108</v>
      </c>
      <c r="L4" s="4" t="n">
        <v>0.397</v>
      </c>
      <c r="M4" s="4" t="n">
        <v>0.571</v>
      </c>
    </row>
    <row r="5">
      <c r="A5" t="n">
        <v>2021</v>
      </c>
      <c r="B5" t="inlineStr">
        <is>
          <t>CHIP only</t>
        </is>
      </c>
      <c r="C5" t="inlineStr">
        <is>
          <t>Administrative</t>
        </is>
      </c>
      <c r="D5" t="inlineStr">
        <is>
          <t>Percentage of Sexually Active Women Screened for Chlamydia: Ages 16 to 20</t>
        </is>
      </c>
      <c r="E5" t="inlineStr">
        <is>
          <t>Higher values are better</t>
        </is>
      </c>
      <c r="F5" t="inlineStr">
        <is>
          <t>Mathematica analysis of the Quality Measure Reporting (QMR) system reports for the FFY 2021 reporting cycle as of June 1, 2023.</t>
        </is>
      </c>
      <c r="G5"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4" t="n">
        <v>0.398</v>
      </c>
      <c r="I5" s="4" t="n">
        <v>0.467</v>
      </c>
      <c r="J5" s="4" t="n">
        <v>0.724</v>
      </c>
      <c r="K5" s="4" t="n">
        <v>0.108</v>
      </c>
      <c r="L5" s="4" t="n">
        <v>0.397</v>
      </c>
      <c r="M5" s="4" t="n">
        <v>0.571</v>
      </c>
    </row>
    <row r="6">
      <c r="A6" t="n">
        <v>2022</v>
      </c>
      <c r="B6" t="inlineStr">
        <is>
          <t>Medicaid only</t>
        </is>
      </c>
      <c r="C6" t="inlineStr">
        <is>
          <t>Administrative</t>
        </is>
      </c>
      <c r="D6" t="inlineStr">
        <is>
          <t>Percentage of Sexually Active Women Screened for Chlamydia: Ages 16 to 20</t>
        </is>
      </c>
      <c r="E6" t="inlineStr">
        <is>
          <t>Higher values are better</t>
        </is>
      </c>
      <c r="F6" t="inlineStr">
        <is>
          <t>Mathematica analysis of the Quality Measure Reporting (QMR) system reports for the FFY 2022 reporting cycle as of June 1, 2023.</t>
        </is>
      </c>
      <c r="G6"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4" t="n">
        <v>0.472</v>
      </c>
      <c r="I6" s="4" t="n">
        <v>0.472</v>
      </c>
      <c r="J6" s="4" t="n">
        <v>0.719</v>
      </c>
      <c r="K6" s="4" t="n">
        <v>0.134</v>
      </c>
      <c r="L6" s="4" t="n">
        <v>0.427</v>
      </c>
      <c r="M6" s="4" t="n">
        <v>0.581</v>
      </c>
    </row>
    <row r="7">
      <c r="A7" t="n">
        <v>2022</v>
      </c>
      <c r="B7" t="inlineStr">
        <is>
          <t>CHIP only</t>
        </is>
      </c>
      <c r="C7" t="inlineStr">
        <is>
          <t>Administrative</t>
        </is>
      </c>
      <c r="D7" t="inlineStr">
        <is>
          <t>Percentage of Sexually Active Women Screened for Chlamydia: Ages 16 to 20</t>
        </is>
      </c>
      <c r="E7" t="inlineStr">
        <is>
          <t>Higher values are better</t>
        </is>
      </c>
      <c r="F7" t="inlineStr">
        <is>
          <t>Mathematica analysis of the Quality Measure Reporting (QMR) system reports for the FFY 2022 reporting cycle as of June 1, 2023.</t>
        </is>
      </c>
      <c r="G7"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s="4" t="n">
        <v>0.379</v>
      </c>
      <c r="I7" s="4" t="n">
        <v>0.472</v>
      </c>
      <c r="J7" s="4" t="n">
        <v>0.719</v>
      </c>
      <c r="K7" s="4" t="n">
        <v>0.134</v>
      </c>
      <c r="L7" s="4" t="n">
        <v>0.427</v>
      </c>
      <c r="M7" s="4" t="n">
        <v>0.581</v>
      </c>
    </row>
    <row r="8">
      <c r="A8" t="n">
        <v>2023</v>
      </c>
      <c r="B8" t="inlineStr">
        <is>
          <t>Medicaid only</t>
        </is>
      </c>
      <c r="C8" t="inlineStr">
        <is>
          <t>Administrative</t>
        </is>
      </c>
      <c r="D8" t="inlineStr">
        <is>
          <t>Percentage of Sexually Active Women Screened for Chlamydia: Ages 16 to 20</t>
        </is>
      </c>
      <c r="E8" t="inlineStr">
        <is>
          <t>Higher values are better</t>
        </is>
      </c>
      <c r="F8" t="inlineStr">
        <is>
          <t>Mathematica analysis of the Quality Measure Reporting (QMR) system reports for the 2023 Core Set as of May 16, 2024.</t>
        </is>
      </c>
      <c r="G8"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8" s="4" t="n">
        <v>0.471</v>
      </c>
      <c r="I8" s="4" t="n">
        <v>0.468</v>
      </c>
      <c r="J8" s="4" t="n">
        <v>0.772</v>
      </c>
      <c r="K8" s="4" t="n">
        <v>0.283</v>
      </c>
      <c r="L8" s="4" t="n">
        <v>0.411</v>
      </c>
      <c r="M8" s="4" t="n">
        <v>0.575</v>
      </c>
    </row>
    <row r="9">
      <c r="A9" t="n">
        <v>2023</v>
      </c>
      <c r="B9" t="inlineStr">
        <is>
          <t>CHIP only</t>
        </is>
      </c>
      <c r="C9" t="inlineStr">
        <is>
          <t>Administrative</t>
        </is>
      </c>
      <c r="D9" t="inlineStr">
        <is>
          <t>Percentage of Sexually Active Women Screened for Chlamydia: Ages 16 to 20</t>
        </is>
      </c>
      <c r="E9" t="inlineStr">
        <is>
          <t>Higher values are better</t>
        </is>
      </c>
      <c r="F9" t="inlineStr">
        <is>
          <t>Mathematica analysis of the Quality Measure Reporting (QMR) system reports for the 2023 Core Set as of May 16, 2024.</t>
        </is>
      </c>
      <c r="G9"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9" s="4" t="n">
        <v>0.338</v>
      </c>
      <c r="I9" s="4" t="n">
        <v>0.468</v>
      </c>
      <c r="J9" s="4" t="n">
        <v>0.772</v>
      </c>
      <c r="K9" s="4" t="n">
        <v>0.283</v>
      </c>
      <c r="L9" s="4" t="n">
        <v>0.411</v>
      </c>
      <c r="M9" s="4" t="n">
        <v>0.575</v>
      </c>
    </row>
    <row r="10">
      <c r="A10" t="n">
        <v>2024</v>
      </c>
      <c r="B10" t="inlineStr">
        <is>
          <t>Medicaid (Title XIX), Title XXI-funded Medicaid Expansion CHIP, Separate CHIP (Title XXI)</t>
        </is>
      </c>
      <c r="C10" t="inlineStr">
        <is>
          <t>Administrative</t>
        </is>
      </c>
      <c r="D10" t="inlineStr">
        <is>
          <t>Percentage of Sexually Active Women Screened for Chlamydia: Ages 16 to 20</t>
        </is>
      </c>
      <c r="E10" t="inlineStr">
        <is>
          <t>Higher values are better</t>
        </is>
      </c>
      <c r="F10" t="inlineStr">
        <is>
          <t>Mathematica analysis of the Quality Measure Reporting (QMR) system reports for the 2024 Core Set as of April 28, 2025.</t>
        </is>
      </c>
      <c r="G10" t="inlineStr">
        <is>
          <t>State-specific comments: Rate combines the Medicaid and separate CHIP data reported by the state in the QMR system. See Medicaid and separate CHIP state-specific comments for information about the data reported for each population.</t>
        </is>
      </c>
      <c r="H10" s="4" t="n">
        <v>0.48</v>
      </c>
      <c r="I10" s="4" t="n">
        <v>0.471</v>
      </c>
      <c r="J10" s="4" t="n">
        <v>0.778</v>
      </c>
      <c r="K10" s="4" t="n">
        <v>0.281</v>
      </c>
      <c r="L10" s="4" t="n">
        <v>0.406</v>
      </c>
      <c r="M10" s="4" t="n">
        <v>0.57</v>
      </c>
    </row>
    <row r="11">
      <c r="A11" t="n">
        <v>2024</v>
      </c>
      <c r="B11" t="inlineStr">
        <is>
          <t>Medicaid (Title XIX), Title XXI-funded Medicaid Expansion CHIP</t>
        </is>
      </c>
      <c r="C11" t="inlineStr">
        <is>
          <t>Administrative</t>
        </is>
      </c>
      <c r="D11" t="inlineStr">
        <is>
          <t>Percentage of Sexually Active Women Screened for Chlamydia: Ages 16 to 20</t>
        </is>
      </c>
      <c r="E11" t="inlineStr">
        <is>
          <t>Higher values are better</t>
        </is>
      </c>
      <c r="F11" t="inlineStr">
        <is>
          <t>Mathematica analysis of the Quality Measure Reporting (QMR) system reports for the 2024 Core Set as of April 28, 2025.</t>
        </is>
      </c>
      <c r="G11"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11" s="4" t="n">
        <v>0.481</v>
      </c>
      <c r="I11" s="4" t="n">
        <v>0.471</v>
      </c>
      <c r="J11" s="4" t="n">
        <v>0.778</v>
      </c>
      <c r="K11" s="4" t="n">
        <v>0.281</v>
      </c>
      <c r="L11" s="4" t="n">
        <v>0.406</v>
      </c>
      <c r="M11" s="4" t="n">
        <v>0.57</v>
      </c>
    </row>
    <row r="12">
      <c r="A12" t="n">
        <v>2024</v>
      </c>
      <c r="B12" t="inlineStr">
        <is>
          <t>Separate CHIP (Title XXI)</t>
        </is>
      </c>
      <c r="C12" t="inlineStr">
        <is>
          <t>Administrative</t>
        </is>
      </c>
      <c r="D12" t="inlineStr">
        <is>
          <t>Percentage of Sexually Active Women Screened for Chlamydia: Ages 16 to 20</t>
        </is>
      </c>
      <c r="E12" t="inlineStr">
        <is>
          <t>Higher values are better</t>
        </is>
      </c>
      <c r="F12" t="inlineStr">
        <is>
          <t>Mathematica analysis of the Quality Measure Reporting (QMR) system reports for the 2024 Core Set as of April 28, 2025.</t>
        </is>
      </c>
      <c r="G12" t="inlineStr">
        <is>
          <t>State-specific comments: Separate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12" s="4" t="n">
        <v>0.374</v>
      </c>
      <c r="I12" s="4" t="n">
        <v>0.471</v>
      </c>
      <c r="J12" s="4" t="n">
        <v>0.778</v>
      </c>
      <c r="K12" s="4" t="n">
        <v>0.281</v>
      </c>
      <c r="L12" s="4" t="n">
        <v>0.406</v>
      </c>
      <c r="M12" s="4" t="n">
        <v>0.57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Chlamydia Screening in Women Ages 21 to 24 (CHL-AD)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of Sexually Active Women Screened for Chlamydia: Ages 21 to 24</t>
        </is>
      </c>
      <c r="E4" t="inlineStr">
        <is>
          <t>Higher values are better</t>
        </is>
      </c>
      <c r="F4" t="inlineStr">
        <is>
          <t>Mathematica analysis of the Quality Measure Reporting (QMR) system reports for the FFY 2021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4" t="n">
        <v>0.57</v>
      </c>
      <c r="I4" s="4" t="n">
        <v>0.5639999999999999</v>
      </c>
      <c r="J4" s="4" t="n">
        <v>0.777</v>
      </c>
      <c r="K4" s="4" t="n">
        <v>0.09</v>
      </c>
      <c r="L4" s="4" t="n">
        <v>0.51</v>
      </c>
      <c r="M4" s="4" t="n">
        <v>0.641</v>
      </c>
    </row>
    <row r="5">
      <c r="A5" t="n">
        <v>2022</v>
      </c>
      <c r="B5" t="inlineStr">
        <is>
          <t>Medicaid</t>
        </is>
      </c>
      <c r="C5" t="inlineStr">
        <is>
          <t>Administrative</t>
        </is>
      </c>
      <c r="D5" t="inlineStr">
        <is>
          <t>Percentage of Sexually Active Women Screened for Chlamydia: Ages 21 to 24</t>
        </is>
      </c>
      <c r="E5" t="inlineStr">
        <is>
          <t>Higher values are better</t>
        </is>
      </c>
      <c r="F5" t="inlineStr">
        <is>
          <t>Mathematica analysis of the Quality Measure Reporting (QMR) system reports for the FFY 2022 reporting cycle as of June 1, 2023.</t>
        </is>
      </c>
      <c r="G5"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4" t="n">
        <v>0.554</v>
      </c>
      <c r="I5" s="4" t="n">
        <v>0.5590000000000001</v>
      </c>
      <c r="J5" s="4" t="n">
        <v>0.76</v>
      </c>
      <c r="K5" s="4" t="n">
        <v>0.124</v>
      </c>
      <c r="L5" s="4" t="n">
        <v>0.52</v>
      </c>
      <c r="M5" s="4" t="n">
        <v>0.641</v>
      </c>
    </row>
    <row r="6">
      <c r="A6" t="n">
        <v>2023</v>
      </c>
      <c r="B6" t="inlineStr">
        <is>
          <t>Medicaid</t>
        </is>
      </c>
      <c r="C6" t="inlineStr">
        <is>
          <t>Administrative</t>
        </is>
      </c>
      <c r="D6" t="inlineStr">
        <is>
          <t>Percentage of Sexually Active Women Screened for Chlamydia: Ages 21 to 24</t>
        </is>
      </c>
      <c r="E6" t="inlineStr">
        <is>
          <t>Higher values are better</t>
        </is>
      </c>
      <c r="F6" t="inlineStr">
        <is>
          <t>Mathematica analysis of the Quality Measure Reporting (QMR) system reports for the 2023 Core Set as of May 16, 2024.</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4" t="n">
        <v>0.5570000000000001</v>
      </c>
      <c r="I6" s="4" t="n">
        <v>0.5620000000000001</v>
      </c>
      <c r="J6" s="4" t="n">
        <v>0.781</v>
      </c>
      <c r="K6" s="4" t="n">
        <v>0.307</v>
      </c>
      <c r="L6" s="4" t="n">
        <v>0.519</v>
      </c>
      <c r="M6" s="4" t="n">
        <v>0.643</v>
      </c>
    </row>
    <row r="7">
      <c r="A7" t="n">
        <v>2024</v>
      </c>
      <c r="B7" t="inlineStr">
        <is>
          <t>Medicaid (Title XIX), Title XXI-funded Medicaid Expansion CHIP</t>
        </is>
      </c>
      <c r="C7" t="inlineStr">
        <is>
          <t>Administrative</t>
        </is>
      </c>
      <c r="D7" t="inlineStr">
        <is>
          <t>Percentage of Sexually Active Women Screened for Chlamydia: Ages 21 to 24</t>
        </is>
      </c>
      <c r="E7" t="inlineStr">
        <is>
          <t>Higher values are better</t>
        </is>
      </c>
      <c r="F7" t="inlineStr">
        <is>
          <t>Mathematica analysis of the Quality Measure Reporting (QMR) system reports for the 2024 Core Set as of April 28, 2025.</t>
        </is>
      </c>
      <c r="G7"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s="4" t="n">
        <v>0.631</v>
      </c>
      <c r="I7" s="4" t="n">
        <v>0.5600000000000001</v>
      </c>
      <c r="J7" s="4" t="n">
        <v>0.775</v>
      </c>
      <c r="K7" s="4" t="n">
        <v>0.334</v>
      </c>
      <c r="L7" s="4" t="n">
        <v>0.502</v>
      </c>
      <c r="M7" s="4" t="n">
        <v>0.634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15"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Colorectal Cancer Screening: Ages 45 to 75 (COL-AD)</t>
        </is>
      </c>
    </row>
    <row r="2"/>
    <row r="3">
      <c r="A3" s="1" t="inlineStr">
        <is>
          <t>Age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Ages 46 to 49</t>
        </is>
      </c>
      <c r="B4" t="n">
        <v>2023</v>
      </c>
      <c r="C4" t="inlineStr">
        <is>
          <t>Medicaid</t>
        </is>
      </c>
      <c r="D4" t="inlineStr">
        <is>
          <t>Administrative</t>
        </is>
      </c>
      <c r="E4" t="inlineStr">
        <is>
          <t>Percentage who had Appropriate Screening for Colorectal Cancer: Ages 46 to 49</t>
        </is>
      </c>
      <c r="F4" t="inlineStr">
        <is>
          <t>Higher values are better</t>
        </is>
      </c>
      <c r="G4" t="inlineStr">
        <is>
          <t>Mathematica analysis of the Quality Measure Reporting (QMR) system reports for the 2023 Core Set as of May 16, 2024.</t>
        </is>
      </c>
      <c r="H4"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0.145</v>
      </c>
      <c r="J4" s="4" t="n">
        <v>0.191</v>
      </c>
      <c r="K4" s="4" t="n">
        <v>0.391</v>
      </c>
      <c r="L4" s="4" t="n">
        <v>0.062</v>
      </c>
      <c r="M4" s="4" t="n">
        <v>0.151</v>
      </c>
      <c r="N4" s="4" t="n">
        <v>0.205</v>
      </c>
    </row>
    <row r="5">
      <c r="A5" t="inlineStr">
        <is>
          <t>Ages 46 to 50</t>
        </is>
      </c>
      <c r="B5" t="n">
        <v>2024</v>
      </c>
      <c r="C5" t="inlineStr">
        <is>
          <t>Medicaid (Title XIX), Title XXI-funded Medicaid Expansion CHIP</t>
        </is>
      </c>
      <c r="D5" t="inlineStr">
        <is>
          <t>Administrative</t>
        </is>
      </c>
      <c r="E5" t="inlineStr">
        <is>
          <t>Percentage who had Appropriate Screening for Colorectal Cancer: Ages 46 to 50</t>
        </is>
      </c>
      <c r="F5" t="inlineStr">
        <is>
          <t>Higher values are better</t>
        </is>
      </c>
      <c r="G5" t="inlineStr">
        <is>
          <t>Mathematica analysis of the Quality Measure Reporting (QMR) system reports for the 2024 Core Set as of April 28, 2025.</t>
        </is>
      </c>
      <c r="H5"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0.193</v>
      </c>
      <c r="J5" s="4" t="n">
        <v>0.229</v>
      </c>
      <c r="K5" s="4" t="n">
        <v>0.442</v>
      </c>
      <c r="L5" s="4" t="n">
        <v>0.096</v>
      </c>
      <c r="M5" s="4" t="n">
        <v>0.2</v>
      </c>
      <c r="N5" s="4" t="n">
        <v>0.265</v>
      </c>
    </row>
    <row r="6">
      <c r="A6" t="inlineStr">
        <is>
          <t>Ages 50 to 64</t>
        </is>
      </c>
      <c r="B6" t="n">
        <v>2023</v>
      </c>
      <c r="C6" t="inlineStr">
        <is>
          <t>Medicaid</t>
        </is>
      </c>
      <c r="D6" t="inlineStr">
        <is>
          <t>Administrative</t>
        </is>
      </c>
      <c r="E6" t="inlineStr">
        <is>
          <t>Percentage who had Appropriate Screening for Colorectal Cancer: Ages 50 to 64</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0.257</v>
      </c>
      <c r="J6" s="4" t="n">
        <v>0.364</v>
      </c>
      <c r="K6" s="4" t="n">
        <v>0.517</v>
      </c>
      <c r="L6" s="4" t="n">
        <v>0.077</v>
      </c>
      <c r="M6" s="4" t="n">
        <v>0.301</v>
      </c>
      <c r="N6" s="4" t="n">
        <v>0.428</v>
      </c>
    </row>
    <row r="7">
      <c r="A7" t="inlineStr">
        <is>
          <t>Ages 51 to 65</t>
        </is>
      </c>
      <c r="B7" t="n">
        <v>2024</v>
      </c>
      <c r="C7" t="inlineStr">
        <is>
          <t>Medicaid (Title XIX), Title XXI-funded Medicaid Expansion CHIP</t>
        </is>
      </c>
      <c r="D7" t="inlineStr">
        <is>
          <t>Administrative</t>
        </is>
      </c>
      <c r="E7" t="inlineStr">
        <is>
          <t>Percentage who had Appropriate Screening for Colorectal Cancer: Ages 51 to 65</t>
        </is>
      </c>
      <c r="F7" t="inlineStr">
        <is>
          <t>Higher values are better</t>
        </is>
      </c>
      <c r="G7" t="inlineStr">
        <is>
          <t>Mathematica analysis of the Quality Measure Reporting (QMR) system reports for the 2024 Core Set as of April 28, 2025.</t>
        </is>
      </c>
      <c r="H7"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0.27</v>
      </c>
      <c r="J7" s="4" t="n">
        <v>0.377</v>
      </c>
      <c r="K7" s="4" t="n">
        <v>0.554</v>
      </c>
      <c r="L7" s="4" t="n">
        <v>0.074</v>
      </c>
      <c r="M7" s="4" t="n">
        <v>0.303</v>
      </c>
      <c r="N7" s="4" t="n">
        <v>0.426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Concurrent Use of Opioids and Benzodiazepines: Age 18 and Older (COB-AD)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with Concurrent Use of Prescription Opioids and Benzodiazepines for 30 or More Cumulative Days: Ages 18 to 64</t>
        </is>
      </c>
      <c r="E4" t="inlineStr">
        <is>
          <t>Lower values are better</t>
        </is>
      </c>
      <c r="F4" t="inlineStr">
        <is>
          <t>Mathematica analysis of the Quality Measure Reporting (QMR) system reports for the FFY 2021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4" t="n">
        <v>0.185</v>
      </c>
      <c r="I4" s="4" t="n">
        <v>0.138</v>
      </c>
      <c r="J4" s="4" t="n">
        <v>0.266</v>
      </c>
      <c r="K4" s="4" t="n">
        <v>0.013</v>
      </c>
      <c r="L4" s="4" t="n">
        <v>0.1</v>
      </c>
      <c r="M4" s="4" t="n">
        <v>0.172</v>
      </c>
    </row>
    <row r="5">
      <c r="A5" t="n">
        <v>2022</v>
      </c>
      <c r="B5" t="inlineStr">
        <is>
          <t>Medicaid</t>
        </is>
      </c>
      <c r="C5" t="inlineStr">
        <is>
          <t>Administrative</t>
        </is>
      </c>
      <c r="D5" t="inlineStr">
        <is>
          <t>Percentage with Concurrent Use of Prescription Opioids and Benzodiazepines for 30 or More Cumulative Days: Ages 18 to 64</t>
        </is>
      </c>
      <c r="E5" t="inlineStr">
        <is>
          <t>Lower values are better</t>
        </is>
      </c>
      <c r="F5" t="inlineStr">
        <is>
          <t>Mathematica analysis of the Quality Measure Reporting (QMR) system reports for the FFY 2022 reporting cycle as of June 1, 2023.</t>
        </is>
      </c>
      <c r="G5"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4" t="n">
        <v>0.159</v>
      </c>
      <c r="I5" s="4" t="n">
        <v>0.133</v>
      </c>
      <c r="J5" s="4" t="n">
        <v>0.232</v>
      </c>
      <c r="K5" s="4" t="n">
        <v>0.01</v>
      </c>
      <c r="L5" s="4" t="n">
        <v>0.097</v>
      </c>
      <c r="M5" s="4" t="n">
        <v>0.16</v>
      </c>
    </row>
    <row r="6">
      <c r="A6" t="n">
        <v>2023</v>
      </c>
      <c r="B6" t="inlineStr">
        <is>
          <t>Medicaid</t>
        </is>
      </c>
      <c r="C6" t="inlineStr">
        <is>
          <t>Administrative</t>
        </is>
      </c>
      <c r="D6" t="inlineStr">
        <is>
          <t>Percentage with Concurrent Use of Prescription Opioids and Benzodiazepines for 30 or More Cumulative Days: Ages 18 to 64</t>
        </is>
      </c>
      <c r="E6" t="inlineStr">
        <is>
          <t>Lower values are better</t>
        </is>
      </c>
      <c r="F6" t="inlineStr">
        <is>
          <t>Mathematica analysis of the Quality Measure Reporting (QMR) system reports for the 2023 Core Set as of May 16, 2024.</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4" t="n">
        <v>0.142</v>
      </c>
      <c r="I6" s="4" t="n">
        <v>0.13</v>
      </c>
      <c r="J6" s="4" t="n">
        <v>0.229</v>
      </c>
      <c r="K6" s="4" t="n">
        <v>0.032</v>
      </c>
      <c r="L6" s="4" t="n">
        <v>0.1</v>
      </c>
      <c r="M6" s="4" t="n">
        <v>0.155</v>
      </c>
    </row>
    <row r="7">
      <c r="A7" t="n">
        <v>2024</v>
      </c>
      <c r="B7" t="inlineStr">
        <is>
          <t>Medicaid (Title XIX), Title XXI-funded Medicaid Expansion CHIP</t>
        </is>
      </c>
      <c r="C7" t="inlineStr">
        <is>
          <t>Administrative</t>
        </is>
      </c>
      <c r="D7" t="inlineStr">
        <is>
          <t>Percentage with Concurrent Use of Prescription Opioids and Benzodiazepines for 30 or More Cumulative Days: Ages 18 to 64</t>
        </is>
      </c>
      <c r="E7" t="inlineStr">
        <is>
          <t>Lower values are better</t>
        </is>
      </c>
      <c r="F7" t="inlineStr">
        <is>
          <t>Mathematica analysis of the Quality Measure Reporting (QMR) system reports for the 2024 Core Set as of April 28, 2025.</t>
        </is>
      </c>
      <c r="G7"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s="4" t="n">
        <v>0.142</v>
      </c>
      <c r="I7" s="4" t="n">
        <v>0.131</v>
      </c>
      <c r="J7" s="4" t="n">
        <v>0.241</v>
      </c>
      <c r="K7" s="4" t="n">
        <v>0.036</v>
      </c>
      <c r="L7" s="4" t="n">
        <v>0.083</v>
      </c>
      <c r="M7" s="4" t="n">
        <v>0.159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48" customWidth="1" min="1" max="1"/>
    <col width="13" customWidth="1" min="2" max="2"/>
    <col width="60" customWidth="1" min="3" max="3"/>
    <col width="16" customWidth="1" min="4" max="4"/>
    <col width="60" customWidth="1" min="5" max="5"/>
    <col width="26" customWidth="1" min="6" max="6"/>
    <col width="60" customWidth="1" min="7" max="7"/>
    <col width="60" customWidth="1" min="8" max="8"/>
    <col width="14"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Contraceptive Care - All Women Ages 15 to 20 (CCW-CH)</t>
        </is>
      </c>
    </row>
    <row r="2"/>
    <row r="3">
      <c r="A3" s="1" t="inlineStr">
        <is>
          <t>Method of Contraception</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Long-Acting Reversible Method of Contraception</t>
        </is>
      </c>
      <c r="B4" t="n">
        <v>2021</v>
      </c>
      <c r="C4" t="inlineStr">
        <is>
          <t>Medicaid only</t>
        </is>
      </c>
      <c r="D4" t="inlineStr">
        <is>
          <t>Administrative</t>
        </is>
      </c>
      <c r="E4" t="inlineStr">
        <is>
          <t>Percentage of All Women at Risk of Unintended Pregnancy Provided a Long-Acting Reversible Method of Contraception: Ages 15 to 20</t>
        </is>
      </c>
      <c r="F4" t="inlineStr">
        <is>
          <t>Higher values are better</t>
        </is>
      </c>
      <c r="G4" t="inlineStr">
        <is>
          <t>Mathematica analysis of the Quality Measure Reporting (QMR) system reports for the FFY 2021 reporting cycle as of June 1, 2023.</t>
        </is>
      </c>
      <c r="H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t>
        </is>
      </c>
      <c r="I4" s="4" t="n">
        <v>0.034</v>
      </c>
      <c r="J4" s="4" t="n">
        <v>0.037</v>
      </c>
      <c r="K4" s="4" t="n">
        <v>0.106</v>
      </c>
      <c r="L4" s="4" t="n">
        <v>0.002</v>
      </c>
      <c r="M4" s="4" t="n">
        <v>0.028</v>
      </c>
      <c r="N4" s="4" t="n">
        <v>0.05</v>
      </c>
    </row>
    <row r="5">
      <c r="A5" t="inlineStr">
        <is>
          <t>Long-Acting Reversible Method of Contraception</t>
        </is>
      </c>
      <c r="B5" t="n">
        <v>2021</v>
      </c>
      <c r="C5" t="inlineStr">
        <is>
          <t>CHIP only</t>
        </is>
      </c>
      <c r="D5" t="inlineStr"/>
      <c r="E5" t="inlineStr">
        <is>
          <t>Percentage of All Women at Risk of Unintended Pregnancy Provided a Long-Acting Reversible Method of Contraception: Ages 15 to 20</t>
        </is>
      </c>
      <c r="F5" t="inlineStr">
        <is>
          <t>Higher values are better</t>
        </is>
      </c>
      <c r="G5" t="inlineStr">
        <is>
          <t>Mathematica analysis of the Quality Measure Reporting (QMR) system reports for the FFY 2021 reporting cycle as of June 1, 2023.</t>
        </is>
      </c>
      <c r="H5" t="inlineStr">
        <is>
          <t>State-specific comments: None</t>
        </is>
      </c>
      <c r="I5" t="inlineStr">
        <is>
          <t>Not Reported</t>
        </is>
      </c>
      <c r="J5" s="4" t="n">
        <v>0.037</v>
      </c>
      <c r="K5" s="4" t="n">
        <v>0.106</v>
      </c>
      <c r="L5" s="4" t="n">
        <v>0.002</v>
      </c>
      <c r="M5" s="4" t="n">
        <v>0.028</v>
      </c>
      <c r="N5" s="4" t="n">
        <v>0.05</v>
      </c>
    </row>
    <row r="6">
      <c r="A6" t="inlineStr">
        <is>
          <t>Long-Acting Reversible Method of Contraception</t>
        </is>
      </c>
      <c r="B6" t="n">
        <v>2022</v>
      </c>
      <c r="C6" t="inlineStr">
        <is>
          <t>Medicaid only</t>
        </is>
      </c>
      <c r="D6" t="inlineStr">
        <is>
          <t>Administrative</t>
        </is>
      </c>
      <c r="E6" t="inlineStr">
        <is>
          <t>Percentage of All Women at Risk of Unintended Pregnancy Provided a Long-Acting Reversible Method of Contraception: Ages 15 to 20</t>
        </is>
      </c>
      <c r="F6" t="inlineStr">
        <is>
          <t>Higher values are better</t>
        </is>
      </c>
      <c r="G6" t="inlineStr">
        <is>
          <t>Mathematica analysis of the Quality Measure Reporting (QMR) system reports for the FFY 2022 reporting cycle as of June 1, 2023.</t>
        </is>
      </c>
      <c r="H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0.035</v>
      </c>
      <c r="J6" s="4" t="n">
        <v>0.034</v>
      </c>
      <c r="K6" s="4" t="n">
        <v>0.314</v>
      </c>
      <c r="L6" s="4" t="n">
        <v>0.003</v>
      </c>
      <c r="M6" s="4" t="n">
        <v>0.027</v>
      </c>
      <c r="N6" s="4" t="n">
        <v>0.047</v>
      </c>
    </row>
    <row r="7">
      <c r="A7" t="inlineStr">
        <is>
          <t>Long-Acting Reversible Method of Contraception</t>
        </is>
      </c>
      <c r="B7" t="n">
        <v>2022</v>
      </c>
      <c r="C7" t="inlineStr">
        <is>
          <t>CHIP only</t>
        </is>
      </c>
      <c r="D7" t="inlineStr"/>
      <c r="E7" t="inlineStr">
        <is>
          <t>Percentage of All Women at Risk of Unintended Pregnancy Provided a Long-Acting Reversible Method of Contraception: Ages 15 to 20</t>
        </is>
      </c>
      <c r="F7" t="inlineStr">
        <is>
          <t>Higher values are better</t>
        </is>
      </c>
      <c r="G7" t="inlineStr">
        <is>
          <t>Mathematica analysis of the Quality Measure Reporting (QMR) system reports for the FFY 2022 reporting cycle as of June 1, 2023.</t>
        </is>
      </c>
      <c r="H7" t="inlineStr">
        <is>
          <t>State-specific comments: None</t>
        </is>
      </c>
      <c r="I7" t="inlineStr">
        <is>
          <t>Not Reported</t>
        </is>
      </c>
      <c r="J7" s="4" t="n">
        <v>0.034</v>
      </c>
      <c r="K7" s="4" t="n">
        <v>0.314</v>
      </c>
      <c r="L7" s="4" t="n">
        <v>0.003</v>
      </c>
      <c r="M7" s="4" t="n">
        <v>0.027</v>
      </c>
      <c r="N7" s="4" t="n">
        <v>0.047</v>
      </c>
    </row>
    <row r="8">
      <c r="A8" t="inlineStr">
        <is>
          <t>Long-Acting Reversible Method of Contraception</t>
        </is>
      </c>
      <c r="B8" t="n">
        <v>2023</v>
      </c>
      <c r="C8" t="inlineStr">
        <is>
          <t>Medicaid only</t>
        </is>
      </c>
      <c r="D8" t="inlineStr">
        <is>
          <t>Administrative</t>
        </is>
      </c>
      <c r="E8" t="inlineStr">
        <is>
          <t>Percentage of All Women at Risk of Unintended Pregnancy Provided a Long-Acting Reversible Method of Contraception: Ages 15 to 20</t>
        </is>
      </c>
      <c r="F8" t="inlineStr">
        <is>
          <t>Higher values are better</t>
        </is>
      </c>
      <c r="G8" t="inlineStr">
        <is>
          <t>Mathematica analysis of the Quality Measure Reporting (QMR) system reports for the 2023 Core Set as of May 16, 2024.</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0.026</v>
      </c>
      <c r="J8" s="4" t="n">
        <v>0.03</v>
      </c>
      <c r="K8" s="4" t="n">
        <v>0.28</v>
      </c>
      <c r="L8" s="4" t="n">
        <v>0.001</v>
      </c>
      <c r="M8" s="4" t="n">
        <v>0.023</v>
      </c>
      <c r="N8" s="4" t="n">
        <v>0.042</v>
      </c>
    </row>
    <row r="9">
      <c r="A9" t="inlineStr">
        <is>
          <t>Long-Acting Reversible Method of Contraception</t>
        </is>
      </c>
      <c r="B9" t="n">
        <v>2023</v>
      </c>
      <c r="C9" t="inlineStr">
        <is>
          <t>CHIP only</t>
        </is>
      </c>
      <c r="D9" t="inlineStr"/>
      <c r="E9" t="inlineStr">
        <is>
          <t>Percentage of All Women at Risk of Unintended Pregnancy Provided a Long-Acting Reversible Method of Contraception: Ages 15 to 20</t>
        </is>
      </c>
      <c r="F9" t="inlineStr">
        <is>
          <t>Higher values are better</t>
        </is>
      </c>
      <c r="G9" t="inlineStr">
        <is>
          <t>Mathematica analysis of the Quality Measure Reporting (QMR) system reports for the 2023 Core Set as of May 16, 2024.</t>
        </is>
      </c>
      <c r="H9" t="inlineStr">
        <is>
          <t>State-specific comments: None</t>
        </is>
      </c>
      <c r="I9" t="inlineStr">
        <is>
          <t>Not Reported</t>
        </is>
      </c>
      <c r="J9" s="4" t="n">
        <v>0.03</v>
      </c>
      <c r="K9" s="4" t="n">
        <v>0.28</v>
      </c>
      <c r="L9" s="4" t="n">
        <v>0.001</v>
      </c>
      <c r="M9" s="4" t="n">
        <v>0.023</v>
      </c>
      <c r="N9" s="4" t="n">
        <v>0.042</v>
      </c>
    </row>
    <row r="10">
      <c r="A10" t="inlineStr">
        <is>
          <t>Long-Acting Reversible Method of Contraception</t>
        </is>
      </c>
      <c r="B10" t="n">
        <v>2024</v>
      </c>
      <c r="C10" t="inlineStr">
        <is>
          <t>Medicaid (Title XIX), Title XXI-funded Medicaid Expansion CHIP</t>
        </is>
      </c>
      <c r="D10" t="inlineStr">
        <is>
          <t>Administrative</t>
        </is>
      </c>
      <c r="E10" t="inlineStr">
        <is>
          <t>Percentage of All Women at Risk of Unintended Pregnancy Provided a Long-Acting Reversible Method of Contraception: Ages 15 to 20</t>
        </is>
      </c>
      <c r="F10" t="inlineStr">
        <is>
          <t>Higher values are better</t>
        </is>
      </c>
      <c r="G10" t="inlineStr">
        <is>
          <t>Mathematica analysis of the Quality Measure Reporting (QMR) system reports for the 2024 Core Set as of April 28, 2025.</t>
        </is>
      </c>
      <c r="H10"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0" s="4" t="n">
        <v>0.024</v>
      </c>
      <c r="J10" s="4" t="n">
        <v>0.033</v>
      </c>
      <c r="K10" s="4" t="n">
        <v>0.078</v>
      </c>
      <c r="L10" s="4" t="n">
        <v>0.001</v>
      </c>
      <c r="M10" s="4" t="n">
        <v>0.024</v>
      </c>
      <c r="N10" s="4" t="n">
        <v>0.045</v>
      </c>
    </row>
    <row r="11">
      <c r="A11" t="inlineStr">
        <is>
          <t>Most or Moderately Effective Contraceptive</t>
        </is>
      </c>
      <c r="B11" t="n">
        <v>2021</v>
      </c>
      <c r="C11" t="inlineStr">
        <is>
          <t>Medicaid only</t>
        </is>
      </c>
      <c r="D11" t="inlineStr">
        <is>
          <t>Administrative</t>
        </is>
      </c>
      <c r="E11" t="inlineStr">
        <is>
          <t>Percentage of All Women at Risk of Unintended Pregnancy Provided a Most Effective or Moderately Effective Method of Contraception: Ages 15 to 20</t>
        </is>
      </c>
      <c r="F11" t="inlineStr">
        <is>
          <t>Higher values are better</t>
        </is>
      </c>
      <c r="G11" t="inlineStr">
        <is>
          <t>Mathematica analysis of the Quality Measure Reporting (QMR) system reports for the FFY 2021 reporting cycle as of June 1, 2023.</t>
        </is>
      </c>
      <c r="H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t>
        </is>
      </c>
      <c r="I11" s="4" t="n">
        <v>0.182</v>
      </c>
      <c r="J11" s="4" t="n">
        <v>0.278</v>
      </c>
      <c r="K11" s="4" t="n">
        <v>0.392</v>
      </c>
      <c r="L11" s="4" t="n">
        <v>0.036</v>
      </c>
      <c r="M11" s="4" t="n">
        <v>0.191</v>
      </c>
      <c r="N11" s="4" t="n">
        <v>0.311</v>
      </c>
    </row>
    <row r="12">
      <c r="A12" t="inlineStr">
        <is>
          <t>Most or Moderately Effective Contraceptive</t>
        </is>
      </c>
      <c r="B12" t="n">
        <v>2021</v>
      </c>
      <c r="C12" t="inlineStr">
        <is>
          <t>CHIP only</t>
        </is>
      </c>
      <c r="D12" t="inlineStr"/>
      <c r="E12" t="inlineStr">
        <is>
          <t>Percentage of All Women at Risk of Unintended Pregnancy Provided a Most Effective or Moderately Effective Method of Contraception: Ages 15 to 20</t>
        </is>
      </c>
      <c r="F12" t="inlineStr">
        <is>
          <t>Higher values are better</t>
        </is>
      </c>
      <c r="G12" t="inlineStr">
        <is>
          <t>Mathematica analysis of the Quality Measure Reporting (QMR) system reports for the FFY 2021 reporting cycle as of June 1, 2023.</t>
        </is>
      </c>
      <c r="H12" t="inlineStr">
        <is>
          <t>State-specific comments: None</t>
        </is>
      </c>
      <c r="I12" t="inlineStr">
        <is>
          <t>Not Reported</t>
        </is>
      </c>
      <c r="J12" s="4" t="n">
        <v>0.278</v>
      </c>
      <c r="K12" s="4" t="n">
        <v>0.392</v>
      </c>
      <c r="L12" s="4" t="n">
        <v>0.036</v>
      </c>
      <c r="M12" s="4" t="n">
        <v>0.191</v>
      </c>
      <c r="N12" s="4" t="n">
        <v>0.311</v>
      </c>
    </row>
    <row r="13">
      <c r="A13" t="inlineStr">
        <is>
          <t>Most or Moderately Effective Contraceptive</t>
        </is>
      </c>
      <c r="B13" t="n">
        <v>2022</v>
      </c>
      <c r="C13" t="inlineStr">
        <is>
          <t>Medicaid only</t>
        </is>
      </c>
      <c r="D13" t="inlineStr">
        <is>
          <t>Administrative</t>
        </is>
      </c>
      <c r="E13" t="inlineStr">
        <is>
          <t>Percentage of All Women at Risk of Unintended Pregnancy Provided a Most Effective or Moderately Effective Method of Contraception: Ages 15 to 20</t>
        </is>
      </c>
      <c r="F13" t="inlineStr">
        <is>
          <t>Higher values are better</t>
        </is>
      </c>
      <c r="G13" t="inlineStr">
        <is>
          <t>Mathematica analysis of the Quality Measure Reporting (QMR) system reports for the FFY 2022 reporting cycle as of June 1, 2023.</t>
        </is>
      </c>
      <c r="H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3" s="4" t="n">
        <v>0.169</v>
      </c>
      <c r="J13" s="4" t="n">
        <v>0.263</v>
      </c>
      <c r="K13" s="4" t="n">
        <v>0.376</v>
      </c>
      <c r="L13" s="4" t="n">
        <v>0.015</v>
      </c>
      <c r="M13" s="4" t="n">
        <v>0.191</v>
      </c>
      <c r="N13" s="4" t="n">
        <v>0.293</v>
      </c>
    </row>
    <row r="14">
      <c r="A14" t="inlineStr">
        <is>
          <t>Most or Moderately Effective Contraceptive</t>
        </is>
      </c>
      <c r="B14" t="n">
        <v>2022</v>
      </c>
      <c r="C14" t="inlineStr">
        <is>
          <t>CHIP only</t>
        </is>
      </c>
      <c r="D14" t="inlineStr"/>
      <c r="E14" t="inlineStr">
        <is>
          <t>Percentage of All Women at Risk of Unintended Pregnancy Provided a Most Effective or Moderately Effective Method of Contraception: Ages 15 to 20</t>
        </is>
      </c>
      <c r="F14" t="inlineStr">
        <is>
          <t>Higher values are better</t>
        </is>
      </c>
      <c r="G14" t="inlineStr">
        <is>
          <t>Mathematica analysis of the Quality Measure Reporting (QMR) system reports for the FFY 2022 reporting cycle as of June 1, 2023.</t>
        </is>
      </c>
      <c r="H14" t="inlineStr">
        <is>
          <t>State-specific comments: None</t>
        </is>
      </c>
      <c r="I14" t="inlineStr">
        <is>
          <t>Not Reported</t>
        </is>
      </c>
      <c r="J14" s="4" t="n">
        <v>0.263</v>
      </c>
      <c r="K14" s="4" t="n">
        <v>0.376</v>
      </c>
      <c r="L14" s="4" t="n">
        <v>0.015</v>
      </c>
      <c r="M14" s="4" t="n">
        <v>0.191</v>
      </c>
      <c r="N14" s="4" t="n">
        <v>0.293</v>
      </c>
    </row>
    <row r="15">
      <c r="A15" t="inlineStr">
        <is>
          <t>Most or Moderately Effective Contraceptive</t>
        </is>
      </c>
      <c r="B15" t="n">
        <v>2023</v>
      </c>
      <c r="C15" t="inlineStr">
        <is>
          <t>Medicaid only</t>
        </is>
      </c>
      <c r="D15" t="inlineStr">
        <is>
          <t>Administrative</t>
        </is>
      </c>
      <c r="E15" t="inlineStr">
        <is>
          <t>Percentage of All Women at Risk of Unintended Pregnancy Provided a Most Effective or Moderately Effective Method of Contraception: Ages 15 to 20</t>
        </is>
      </c>
      <c r="F15" t="inlineStr">
        <is>
          <t>Higher values are better</t>
        </is>
      </c>
      <c r="G15" t="inlineStr">
        <is>
          <t>Mathematica analysis of the Quality Measure Reporting (QMR) system reports for the 2023 Core Set as of May 16, 2024.</t>
        </is>
      </c>
      <c r="H1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s="4" t="n">
        <v>0.159</v>
      </c>
      <c r="J15" s="4" t="n">
        <v>0.238</v>
      </c>
      <c r="K15" s="4" t="n">
        <v>0.417</v>
      </c>
      <c r="L15" s="4" t="n">
        <v>0.016</v>
      </c>
      <c r="M15" s="4" t="n">
        <v>0.175</v>
      </c>
      <c r="N15" s="4" t="n">
        <v>0.275</v>
      </c>
    </row>
    <row r="16">
      <c r="A16" t="inlineStr">
        <is>
          <t>Most or Moderately Effective Contraceptive</t>
        </is>
      </c>
      <c r="B16" t="n">
        <v>2023</v>
      </c>
      <c r="C16" t="inlineStr">
        <is>
          <t>CHIP only</t>
        </is>
      </c>
      <c r="D16" t="inlineStr"/>
      <c r="E16" t="inlineStr">
        <is>
          <t>Percentage of All Women at Risk of Unintended Pregnancy Provided a Most Effective or Moderately Effective Method of Contraception: Ages 15 to 20</t>
        </is>
      </c>
      <c r="F16" t="inlineStr">
        <is>
          <t>Higher values are better</t>
        </is>
      </c>
      <c r="G16" t="inlineStr">
        <is>
          <t>Mathematica analysis of the Quality Measure Reporting (QMR) system reports for the 2023 Core Set as of May 16, 2024.</t>
        </is>
      </c>
      <c r="H16" t="inlineStr">
        <is>
          <t>State-specific comments: None</t>
        </is>
      </c>
      <c r="I16" t="inlineStr">
        <is>
          <t>Not Reported</t>
        </is>
      </c>
      <c r="J16" s="4" t="n">
        <v>0.238</v>
      </c>
      <c r="K16" s="4" t="n">
        <v>0.417</v>
      </c>
      <c r="L16" s="4" t="n">
        <v>0.016</v>
      </c>
      <c r="M16" s="4" t="n">
        <v>0.175</v>
      </c>
      <c r="N16" s="4" t="n">
        <v>0.275</v>
      </c>
    </row>
    <row r="17">
      <c r="A17" t="inlineStr">
        <is>
          <t>Most or Moderately Effective Contraceptive</t>
        </is>
      </c>
      <c r="B17" t="n">
        <v>2024</v>
      </c>
      <c r="C17" t="inlineStr">
        <is>
          <t>Medicaid (Title XIX), Title XXI-funded Medicaid Expansion CHIP</t>
        </is>
      </c>
      <c r="D17" t="inlineStr">
        <is>
          <t>Administrative</t>
        </is>
      </c>
      <c r="E17" t="inlineStr">
        <is>
          <t>Percentage of All Women at Risk of Unintended Pregnancy Provided a Most Effective or Moderately Effective Method of Contraception: Ages 15 to 20</t>
        </is>
      </c>
      <c r="F17" t="inlineStr">
        <is>
          <t>Higher values are better</t>
        </is>
      </c>
      <c r="G17" t="inlineStr">
        <is>
          <t>Mathematica analysis of the Quality Measure Reporting (QMR) system reports for the 2024 Core Set as of April 28, 2025.</t>
        </is>
      </c>
      <c r="H17"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7" s="4" t="n">
        <v>0.141</v>
      </c>
      <c r="J17" s="4" t="n">
        <v>0.231</v>
      </c>
      <c r="K17" s="4" t="n">
        <v>0.424</v>
      </c>
      <c r="L17" s="4" t="n">
        <v>0.026</v>
      </c>
      <c r="M17" s="4" t="n">
        <v>0.17</v>
      </c>
      <c r="N17" s="4" t="n">
        <v>0.274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48"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Contraceptive Care - All Women Ages 21 to 44 (CCW-AD)</t>
        </is>
      </c>
    </row>
    <row r="2"/>
    <row r="3">
      <c r="A3" s="1" t="inlineStr">
        <is>
          <t>Method of Contraception</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Long-Acting Reversible Method of Contraception</t>
        </is>
      </c>
      <c r="B4" t="n">
        <v>2021</v>
      </c>
      <c r="C4" t="inlineStr">
        <is>
          <t>Medicaid</t>
        </is>
      </c>
      <c r="D4" t="inlineStr">
        <is>
          <t>Administrative</t>
        </is>
      </c>
      <c r="E4" t="inlineStr">
        <is>
          <t>Percentage of All Women at Risk of Unintended Pregnancy Provided a Long-Acting Reversible Method of Contraception: Ages 21 to 44</t>
        </is>
      </c>
      <c r="F4" t="inlineStr">
        <is>
          <t>Higher values are better</t>
        </is>
      </c>
      <c r="G4" t="inlineStr">
        <is>
          <t>Mathematica analysis of the Quality Measure Reporting (QMR) system reports for the FFY 2021 reporting cycle as of June 1, 2023.</t>
        </is>
      </c>
      <c r="H4"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0.101</v>
      </c>
      <c r="J4" s="4" t="n">
        <v>0.047</v>
      </c>
      <c r="K4" s="4" t="n">
        <v>0.101</v>
      </c>
      <c r="L4" s="4" t="n">
        <v>0.025</v>
      </c>
      <c r="M4" s="4" t="n">
        <v>0.038</v>
      </c>
      <c r="N4" s="4" t="n">
        <v>0.06</v>
      </c>
    </row>
    <row r="5">
      <c r="A5" t="inlineStr">
        <is>
          <t>Long-Acting Reversible Method of Contraception</t>
        </is>
      </c>
      <c r="B5" t="n">
        <v>2022</v>
      </c>
      <c r="C5" t="inlineStr">
        <is>
          <t>Medicaid</t>
        </is>
      </c>
      <c r="D5" t="inlineStr">
        <is>
          <t>Administrative</t>
        </is>
      </c>
      <c r="E5" t="inlineStr">
        <is>
          <t>Percentage of All Women at Risk of Unintended Pregnancy Provided a Long-Acting Reversible Method of Contraception: Ages 21 to 44</t>
        </is>
      </c>
      <c r="F5" t="inlineStr">
        <is>
          <t>Higher values are better</t>
        </is>
      </c>
      <c r="G5" t="inlineStr">
        <is>
          <t>Mathematica analysis of the Quality Measure Reporting (QMR) system reports for the FFY 2022 reporting cycle as of June 1, 2023.</t>
        </is>
      </c>
      <c r="H5"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0.091</v>
      </c>
      <c r="J5" s="4" t="n">
        <v>0.043</v>
      </c>
      <c r="K5" s="4" t="n">
        <v>0.194</v>
      </c>
      <c r="L5" s="4" t="n">
        <v>0.003</v>
      </c>
      <c r="M5" s="4" t="n">
        <v>0.035</v>
      </c>
      <c r="N5" s="4" t="n">
        <v>0.058</v>
      </c>
    </row>
    <row r="6">
      <c r="A6" t="inlineStr">
        <is>
          <t>Long-Acting Reversible Method of Contraception</t>
        </is>
      </c>
      <c r="B6" t="n">
        <v>2023</v>
      </c>
      <c r="C6" t="inlineStr">
        <is>
          <t>Medicaid</t>
        </is>
      </c>
      <c r="D6" t="inlineStr">
        <is>
          <t>Administrative</t>
        </is>
      </c>
      <c r="E6" t="inlineStr">
        <is>
          <t>Percentage of All Women at Risk of Unintended Pregnancy Provided a Long-Acting Reversible Method of Contraception: Ages 21 to 44</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0.055</v>
      </c>
      <c r="J6" s="4" t="n">
        <v>0.036</v>
      </c>
      <c r="K6" s="4" t="n">
        <v>0.161</v>
      </c>
      <c r="L6" s="4" t="n">
        <v>0.002</v>
      </c>
      <c r="M6" s="4" t="n">
        <v>0.031</v>
      </c>
      <c r="N6" s="4" t="n">
        <v>0.048</v>
      </c>
    </row>
    <row r="7">
      <c r="A7" t="inlineStr">
        <is>
          <t>Long-Acting Reversible Method of Contraception</t>
        </is>
      </c>
      <c r="B7" t="n">
        <v>2024</v>
      </c>
      <c r="C7" t="inlineStr">
        <is>
          <t>Medicaid (Title XIX), Title XXI-funded Medicaid Expansion CHIP</t>
        </is>
      </c>
      <c r="D7" t="inlineStr">
        <is>
          <t>Administrative</t>
        </is>
      </c>
      <c r="E7" t="inlineStr">
        <is>
          <t>Percentage of All Women at Risk of Unintended Pregnancy Provided a Long-Acting Reversible Method of Contraception: Ages 21 to 44</t>
        </is>
      </c>
      <c r="F7" t="inlineStr">
        <is>
          <t>Higher values are better</t>
        </is>
      </c>
      <c r="G7" t="inlineStr">
        <is>
          <t>Mathematica analysis of the Quality Measure Reporting (QMR) system reports for the 2024 Core Set as of April 28, 2025.</t>
        </is>
      </c>
      <c r="H7"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0.05</v>
      </c>
      <c r="J7" s="4" t="n">
        <v>0.037</v>
      </c>
      <c r="K7" s="4" t="n">
        <v>0.056</v>
      </c>
      <c r="L7" s="4" t="n">
        <v>0.002</v>
      </c>
      <c r="M7" s="4" t="n">
        <v>0.031</v>
      </c>
      <c r="N7" s="4" t="n">
        <v>0.043</v>
      </c>
    </row>
    <row r="8">
      <c r="A8" t="inlineStr">
        <is>
          <t>Most or Moderately Effective Contraceptive</t>
        </is>
      </c>
      <c r="B8" t="n">
        <v>2021</v>
      </c>
      <c r="C8" t="inlineStr">
        <is>
          <t>Medicaid</t>
        </is>
      </c>
      <c r="D8" t="inlineStr">
        <is>
          <t>Administrative</t>
        </is>
      </c>
      <c r="E8" t="inlineStr">
        <is>
          <t>Percentage of All Women at Risk of Unintended Pregnancy Provided a Most Effective or Moderately Effective Method of Contraception: Ages 21 to 44</t>
        </is>
      </c>
      <c r="F8" t="inlineStr">
        <is>
          <t>Higher values are better</t>
        </is>
      </c>
      <c r="G8" t="inlineStr">
        <is>
          <t>Mathematica analysis of the Quality Measure Reporting (QMR) system reports for the FFY 2021 reporting cycle as of June 1, 2023.</t>
        </is>
      </c>
      <c r="H8"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0.347</v>
      </c>
      <c r="J8" s="4" t="n">
        <v>0.252</v>
      </c>
      <c r="K8" s="4" t="n">
        <v>0.347</v>
      </c>
      <c r="L8" s="4" t="n">
        <v>0.148</v>
      </c>
      <c r="M8" s="4" t="n">
        <v>0.229</v>
      </c>
      <c r="N8" s="4" t="n">
        <v>0.275</v>
      </c>
    </row>
    <row r="9">
      <c r="A9" t="inlineStr">
        <is>
          <t>Most or Moderately Effective Contraceptive</t>
        </is>
      </c>
      <c r="B9" t="n">
        <v>2022</v>
      </c>
      <c r="C9" t="inlineStr">
        <is>
          <t>Medicaid</t>
        </is>
      </c>
      <c r="D9" t="inlineStr">
        <is>
          <t>Administrative</t>
        </is>
      </c>
      <c r="E9" t="inlineStr">
        <is>
          <t>Percentage of All Women at Risk of Unintended Pregnancy Provided a Most Effective or Moderately Effective Method of Contraception: Ages 21 to 44</t>
        </is>
      </c>
      <c r="F9" t="inlineStr">
        <is>
          <t>Higher values are better</t>
        </is>
      </c>
      <c r="G9" t="inlineStr">
        <is>
          <t>Mathematica analysis of the Quality Measure Reporting (QMR) system reports for the FFY 2022 reporting cycle as of June 1, 2023.</t>
        </is>
      </c>
      <c r="H9"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s="4" t="n">
        <v>0.284</v>
      </c>
      <c r="J9" s="4" t="n">
        <v>0.239</v>
      </c>
      <c r="K9" s="4" t="n">
        <v>0.289</v>
      </c>
      <c r="L9" s="4" t="n">
        <v>0.037</v>
      </c>
      <c r="M9" s="4" t="n">
        <v>0.212</v>
      </c>
      <c r="N9" s="4" t="n">
        <v>0.259</v>
      </c>
    </row>
    <row r="10">
      <c r="A10" t="inlineStr">
        <is>
          <t>Most or Moderately Effective Contraceptive</t>
        </is>
      </c>
      <c r="B10" t="n">
        <v>2023</v>
      </c>
      <c r="C10" t="inlineStr">
        <is>
          <t>Medicaid</t>
        </is>
      </c>
      <c r="D10" t="inlineStr">
        <is>
          <t>Administrative</t>
        </is>
      </c>
      <c r="E10" t="inlineStr">
        <is>
          <t>Percentage of All Women at Risk of Unintended Pregnancy Provided a Most Effective or Moderately Effective Method of Contraception: Ages 21 to 44</t>
        </is>
      </c>
      <c r="F10" t="inlineStr">
        <is>
          <t>Higher values are better</t>
        </is>
      </c>
      <c r="G10" t="inlineStr">
        <is>
          <t>Mathematica analysis of the Quality Measure Reporting (QMR) system reports for the 2023 Core Set as of May 16, 2024.</t>
        </is>
      </c>
      <c r="H10"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0" s="4" t="n">
        <v>0.24</v>
      </c>
      <c r="J10" s="4" t="n">
        <v>0.214</v>
      </c>
      <c r="K10" s="4" t="n">
        <v>0.274</v>
      </c>
      <c r="L10" s="4" t="n">
        <v>0.034</v>
      </c>
      <c r="M10" s="4" t="n">
        <v>0.201</v>
      </c>
      <c r="N10" s="4" t="n">
        <v>0.235</v>
      </c>
    </row>
    <row r="11">
      <c r="A11" t="inlineStr">
        <is>
          <t>Most or Moderately Effective Contraceptive</t>
        </is>
      </c>
      <c r="B11" t="n">
        <v>2024</v>
      </c>
      <c r="C11" t="inlineStr">
        <is>
          <t>Medicaid (Title XIX), Title XXI-funded Medicaid Expansion CHIP</t>
        </is>
      </c>
      <c r="D11" t="inlineStr">
        <is>
          <t>Administrative</t>
        </is>
      </c>
      <c r="E11" t="inlineStr">
        <is>
          <t>Percentage of All Women at Risk of Unintended Pregnancy Provided a Most Effective or Moderately Effective Method of Contraception: Ages 21 to 44</t>
        </is>
      </c>
      <c r="F11" t="inlineStr">
        <is>
          <t>Higher values are better</t>
        </is>
      </c>
      <c r="G11" t="inlineStr">
        <is>
          <t>Mathematica analysis of the Quality Measure Reporting (QMR) system reports for the 2024 Core Set as of April 28, 2025.</t>
        </is>
      </c>
      <c r="H11"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0.228</v>
      </c>
      <c r="J11" s="4" t="n">
        <v>0.208</v>
      </c>
      <c r="K11" s="4" t="n">
        <v>0.271</v>
      </c>
      <c r="L11" s="4" t="n">
        <v>0.041</v>
      </c>
      <c r="M11" s="4" t="n">
        <v>0.184</v>
      </c>
      <c r="N11" s="4" t="n">
        <v>0.232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cols>
    <col width="48" customWidth="1" min="1" max="1"/>
    <col width="20" customWidth="1" min="2" max="2"/>
    <col width="13" customWidth="1" min="3" max="3"/>
    <col width="60" customWidth="1" min="4" max="4"/>
    <col width="16" customWidth="1" min="5" max="5"/>
    <col width="60" customWidth="1" min="6" max="6"/>
    <col width="26" customWidth="1" min="7" max="7"/>
    <col width="60" customWidth="1" min="8" max="8"/>
    <col width="60" customWidth="1" min="9" max="9"/>
    <col width="14" customWidth="1" min="10" max="10"/>
    <col width="8" customWidth="1" min="11" max="11"/>
    <col width="9" customWidth="1" min="12" max="12"/>
    <col width="9" customWidth="1" min="13" max="13"/>
    <col width="16" customWidth="1" min="14" max="14"/>
    <col width="16" customWidth="1" min="15" max="15"/>
  </cols>
  <sheetData>
    <row r="1">
      <c r="A1" t="inlineStr">
        <is>
          <t>Measure Name</t>
        </is>
      </c>
      <c r="B1" t="inlineStr">
        <is>
          <t>Contraceptive Care - Postpartum Women Ages 15 to 20 (CCP-CH)</t>
        </is>
      </c>
    </row>
    <row r="2">
      <c r="A2" t="inlineStr">
        <is>
          <t>Most or Moderately Effective Contraceptive: 90-Days Postpartum: Due to data source or specification changes, comparisons should only be made within the following Core Set Years: 2021-2022, 2023-2024. See measure information tab for more information.</t>
        </is>
      </c>
      <c r="B2" t="inlineStr"/>
    </row>
    <row r="3">
      <c r="A3" t="inlineStr">
        <is>
          <t>Long-Acting Reversible Method of Contraception: 90-Days Postpartum: Due to data source or specification changes, comparisons should only be made within the following Core Set Years: 2021-2022, 2023-2024. See measure information tab for more information.</t>
        </is>
      </c>
      <c r="B3" t="inlineStr"/>
    </row>
    <row r="4"/>
    <row r="5">
      <c r="A5" s="1" t="inlineStr">
        <is>
          <t>Method of Contraception</t>
        </is>
      </c>
      <c r="B5" s="1" t="inlineStr">
        <is>
          <t>Days Postpartum</t>
        </is>
      </c>
      <c r="C5" s="1" t="inlineStr">
        <is>
          <t>Data Period</t>
        </is>
      </c>
      <c r="D5" s="1" t="inlineStr">
        <is>
          <t>Population</t>
        </is>
      </c>
      <c r="E5" s="1" t="inlineStr">
        <is>
          <t>Methodology</t>
        </is>
      </c>
      <c r="F5" s="1" t="inlineStr">
        <is>
          <t>Value Type</t>
        </is>
      </c>
      <c r="G5" s="1" t="inlineStr">
        <is>
          <t>Value Directionality</t>
        </is>
      </c>
      <c r="H5" s="1" t="inlineStr">
        <is>
          <t>Analysis Source</t>
        </is>
      </c>
      <c r="I5" s="1" t="inlineStr">
        <is>
          <t>Notes</t>
        </is>
      </c>
      <c r="J5" s="1" t="inlineStr">
        <is>
          <t>Value</t>
        </is>
      </c>
      <c r="K5" s="1" t="inlineStr">
        <is>
          <t>Median</t>
        </is>
      </c>
      <c r="L5" s="1" t="inlineStr">
        <is>
          <t>Maximum</t>
        </is>
      </c>
      <c r="M5" s="1" t="inlineStr">
        <is>
          <t>Minimum</t>
        </is>
      </c>
      <c r="N5" s="1" t="inlineStr">
        <is>
          <t>First quartile</t>
        </is>
      </c>
      <c r="O5" s="1" t="inlineStr">
        <is>
          <t>Third quartile</t>
        </is>
      </c>
    </row>
    <row r="6">
      <c r="A6" t="inlineStr">
        <is>
          <t>Long-Acting Reversible Method of Contraception</t>
        </is>
      </c>
      <c r="B6" t="inlineStr">
        <is>
          <t>3-Days Postpartum</t>
        </is>
      </c>
      <c r="C6" t="n">
        <v>2021</v>
      </c>
      <c r="D6" t="inlineStr">
        <is>
          <t>Medicaid only</t>
        </is>
      </c>
      <c r="E6" t="inlineStr">
        <is>
          <t>Administrative</t>
        </is>
      </c>
      <c r="F6" t="inlineStr">
        <is>
          <t>Percentage of Postpartum Women with a Live Birth Provided a Long-Acting Reversible Method of Contraception Within 3 Days of Delivery: Ages 15 to 20</t>
        </is>
      </c>
      <c r="G6" t="inlineStr">
        <is>
          <t>Higher values are better</t>
        </is>
      </c>
      <c r="H6" t="inlineStr">
        <is>
          <t>Mathematica analysis of the Quality Measure Reporting (QMR) system reports for the FFY 2021 reporting cycle as of June 1, 2023.</t>
        </is>
      </c>
      <c r="I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t>
        </is>
      </c>
      <c r="J6" s="4" t="n">
        <v>0.014</v>
      </c>
      <c r="K6" s="4" t="n">
        <v>0.031</v>
      </c>
      <c r="L6" s="4" t="n">
        <v>0.135</v>
      </c>
      <c r="M6" s="4" t="n">
        <v>0</v>
      </c>
      <c r="N6" s="4" t="n">
        <v>0.014</v>
      </c>
      <c r="O6" s="4" t="n">
        <v>0.045</v>
      </c>
    </row>
    <row r="7">
      <c r="A7" t="inlineStr">
        <is>
          <t>Long-Acting Reversible Method of Contraception</t>
        </is>
      </c>
      <c r="B7" t="inlineStr">
        <is>
          <t>3-Days Postpartum</t>
        </is>
      </c>
      <c r="C7" t="n">
        <v>2021</v>
      </c>
      <c r="D7" t="inlineStr">
        <is>
          <t>CHIP only</t>
        </is>
      </c>
      <c r="E7" t="inlineStr"/>
      <c r="F7" t="inlineStr">
        <is>
          <t>Percentage of Postpartum Women with a Live Birth Provided a Long-Acting Reversible Method of Contraception Within 3 Days of Delivery: Ages 15 to 20</t>
        </is>
      </c>
      <c r="G7" t="inlineStr">
        <is>
          <t>Higher values are better</t>
        </is>
      </c>
      <c r="H7" t="inlineStr">
        <is>
          <t>Mathematica analysis of the Quality Measure Reporting (QMR) system reports for the FFY 2021 reporting cycle as of June 1, 2023.</t>
        </is>
      </c>
      <c r="I7" t="inlineStr">
        <is>
          <t>State-specific comments: None</t>
        </is>
      </c>
      <c r="J7" t="inlineStr">
        <is>
          <t>Not Reported</t>
        </is>
      </c>
      <c r="K7" s="4" t="n">
        <v>0.031</v>
      </c>
      <c r="L7" s="4" t="n">
        <v>0.135</v>
      </c>
      <c r="M7" s="4" t="n">
        <v>0</v>
      </c>
      <c r="N7" s="4" t="n">
        <v>0.014</v>
      </c>
      <c r="O7" s="4" t="n">
        <v>0.045</v>
      </c>
    </row>
    <row r="8">
      <c r="A8" t="inlineStr">
        <is>
          <t>Long-Acting Reversible Method of Contraception</t>
        </is>
      </c>
      <c r="B8" t="inlineStr">
        <is>
          <t>3-Days Postpartum</t>
        </is>
      </c>
      <c r="C8" t="n">
        <v>2022</v>
      </c>
      <c r="D8" t="inlineStr">
        <is>
          <t>Medicaid only</t>
        </is>
      </c>
      <c r="E8" t="inlineStr">
        <is>
          <t>Administrative</t>
        </is>
      </c>
      <c r="F8" t="inlineStr">
        <is>
          <t>Percentage of Postpartum Women with a Live Birth Provided a Long-Acting Reversible Method of Contraception Within 3 Days of Delivery: Ages 15 to 20</t>
        </is>
      </c>
      <c r="G8" t="inlineStr">
        <is>
          <t>Higher values are better</t>
        </is>
      </c>
      <c r="H8" t="inlineStr">
        <is>
          <t>Mathematica analysis of the Quality Measure Reporting (QMR) system reports for the FFY 2022 reporting cycle as of June 1, 2023.</t>
        </is>
      </c>
      <c r="I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8" s="4" t="n">
        <v>0.016</v>
      </c>
      <c r="K8" s="4" t="n">
        <v>0.031</v>
      </c>
      <c r="L8" s="4" t="n">
        <v>0.091</v>
      </c>
      <c r="M8" s="4" t="n">
        <v>0</v>
      </c>
      <c r="N8" s="4" t="n">
        <v>0.016</v>
      </c>
      <c r="O8" s="4" t="n">
        <v>0.049</v>
      </c>
    </row>
    <row r="9">
      <c r="A9" t="inlineStr">
        <is>
          <t>Long-Acting Reversible Method of Contraception</t>
        </is>
      </c>
      <c r="B9" t="inlineStr">
        <is>
          <t>3-Days Postpartum</t>
        </is>
      </c>
      <c r="C9" t="n">
        <v>2022</v>
      </c>
      <c r="D9" t="inlineStr">
        <is>
          <t>CHIP only</t>
        </is>
      </c>
      <c r="E9" t="inlineStr"/>
      <c r="F9" t="inlineStr">
        <is>
          <t>Percentage of Postpartum Women with a Live Birth Provided a Long-Acting Reversible Method of Contraception Within 3 Days of Delivery: Ages 15 to 20</t>
        </is>
      </c>
      <c r="G9" t="inlineStr">
        <is>
          <t>Higher values are better</t>
        </is>
      </c>
      <c r="H9" t="inlineStr">
        <is>
          <t>Mathematica analysis of the Quality Measure Reporting (QMR) system reports for the FFY 2022 reporting cycle as of June 1, 2023.</t>
        </is>
      </c>
      <c r="I9" t="inlineStr">
        <is>
          <t>State-specific comments: None</t>
        </is>
      </c>
      <c r="J9" t="inlineStr">
        <is>
          <t>Not Reported</t>
        </is>
      </c>
      <c r="K9" s="4" t="n">
        <v>0.031</v>
      </c>
      <c r="L9" s="4" t="n">
        <v>0.091</v>
      </c>
      <c r="M9" s="4" t="n">
        <v>0</v>
      </c>
      <c r="N9" s="4" t="n">
        <v>0.016</v>
      </c>
      <c r="O9" s="4" t="n">
        <v>0.049</v>
      </c>
    </row>
    <row r="10">
      <c r="A10" t="inlineStr">
        <is>
          <t>Long-Acting Reversible Method of Contraception</t>
        </is>
      </c>
      <c r="B10" t="inlineStr">
        <is>
          <t>3-Days Postpartum</t>
        </is>
      </c>
      <c r="C10" t="n">
        <v>2023</v>
      </c>
      <c r="D10" t="inlineStr">
        <is>
          <t>Medicaid only</t>
        </is>
      </c>
      <c r="E10" t="inlineStr">
        <is>
          <t>Administrative</t>
        </is>
      </c>
      <c r="F10" t="inlineStr">
        <is>
          <t>Percentage of Postpartum Women with a Live Birth Provided a Long-Acting Reversible Method of Contraception Within 3 Days of Delivery: Ages 15 to 20</t>
        </is>
      </c>
      <c r="G10" t="inlineStr">
        <is>
          <t>Higher values are better</t>
        </is>
      </c>
      <c r="H10" t="inlineStr">
        <is>
          <t>Mathematica analysis of the Quality Measure Reporting (QMR) system reports for the 2023 Core Set as of May 16, 2024.</t>
        </is>
      </c>
      <c r="I1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0" s="4" t="n">
        <v>0.017</v>
      </c>
      <c r="K10" s="4" t="n">
        <v>0.028</v>
      </c>
      <c r="L10" s="4" t="n">
        <v>0.095</v>
      </c>
      <c r="M10" s="4" t="n">
        <v>0</v>
      </c>
      <c r="N10" s="4" t="n">
        <v>0.017</v>
      </c>
      <c r="O10" s="4" t="n">
        <v>0.05</v>
      </c>
    </row>
    <row r="11">
      <c r="A11" t="inlineStr">
        <is>
          <t>Long-Acting Reversible Method of Contraception</t>
        </is>
      </c>
      <c r="B11" t="inlineStr">
        <is>
          <t>3-Days Postpartum</t>
        </is>
      </c>
      <c r="C11" t="n">
        <v>2023</v>
      </c>
      <c r="D11" t="inlineStr">
        <is>
          <t>CHIP only</t>
        </is>
      </c>
      <c r="E11" t="inlineStr"/>
      <c r="F11" t="inlineStr">
        <is>
          <t>Percentage of Postpartum Women with a Live Birth Provided a Long-Acting Reversible Method of Contraception Within 3 Days of Delivery: Ages 15 to 20</t>
        </is>
      </c>
      <c r="G11" t="inlineStr">
        <is>
          <t>Higher values are better</t>
        </is>
      </c>
      <c r="H11" t="inlineStr">
        <is>
          <t>Mathematica analysis of the Quality Measure Reporting (QMR) system reports for the 2023 Core Set as of May 16, 2024.</t>
        </is>
      </c>
      <c r="I11" t="inlineStr">
        <is>
          <t>State-specific comments: None</t>
        </is>
      </c>
      <c r="J11" t="inlineStr">
        <is>
          <t>Not Reported</t>
        </is>
      </c>
      <c r="K11" s="4" t="n">
        <v>0.028</v>
      </c>
      <c r="L11" s="4" t="n">
        <v>0.095</v>
      </c>
      <c r="M11" s="4" t="n">
        <v>0</v>
      </c>
      <c r="N11" s="4" t="n">
        <v>0.017</v>
      </c>
      <c r="O11" s="4" t="n">
        <v>0.05</v>
      </c>
    </row>
    <row r="12">
      <c r="A12" t="inlineStr">
        <is>
          <t>Long-Acting Reversible Method of Contraception</t>
        </is>
      </c>
      <c r="B12" t="inlineStr">
        <is>
          <t>3-Days Postpartum</t>
        </is>
      </c>
      <c r="C12" t="n">
        <v>2024</v>
      </c>
      <c r="D12" t="inlineStr">
        <is>
          <t>Medicaid (Title XIX), Title XXI-funded Medicaid Expansion CHIP</t>
        </is>
      </c>
      <c r="E12" t="inlineStr">
        <is>
          <t>Administrative</t>
        </is>
      </c>
      <c r="F12" t="inlineStr">
        <is>
          <t>Percentage of Postpartum Women with a Live Birth Provided a Long-Acting Reversible Method of Contraception Within 3 Days of Delivery: Ages 15 to 20</t>
        </is>
      </c>
      <c r="G12" t="inlineStr">
        <is>
          <t>Higher values are better</t>
        </is>
      </c>
      <c r="H12" t="inlineStr">
        <is>
          <t>Mathematica analysis of the Quality Measure Reporting (QMR) system reports for the 2024 Core Set as of April 28, 2025.</t>
        </is>
      </c>
      <c r="I12"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2" s="4" t="n">
        <v>0.022</v>
      </c>
      <c r="K12" s="4" t="n">
        <v>0.031</v>
      </c>
      <c r="L12" s="4" t="n">
        <v>0.141</v>
      </c>
      <c r="M12" s="4" t="n">
        <v>0</v>
      </c>
      <c r="N12" s="4" t="n">
        <v>0.023</v>
      </c>
      <c r="O12" s="4" t="n">
        <v>0.058</v>
      </c>
    </row>
    <row r="13">
      <c r="A13" t="inlineStr">
        <is>
          <t>Long-Acting Reversible Method of Contraception</t>
        </is>
      </c>
      <c r="B13" t="inlineStr">
        <is>
          <t>60-Days Postpartum</t>
        </is>
      </c>
      <c r="C13" t="n">
        <v>2021</v>
      </c>
      <c r="D13" t="inlineStr">
        <is>
          <t>Medicaid only</t>
        </is>
      </c>
      <c r="E13" t="inlineStr">
        <is>
          <t>Administrative</t>
        </is>
      </c>
      <c r="F13" t="inlineStr">
        <is>
          <t>Percentage of Postpartum Women with a Live Birth Provided a Long-Acting Reversible Method of Contraception Within 60 Days of Delivery: Ages 15 to 20</t>
        </is>
      </c>
      <c r="G13" t="inlineStr">
        <is>
          <t>Higher values are better</t>
        </is>
      </c>
      <c r="H13" t="inlineStr">
        <is>
          <t>Mathematica analysis of the Quality Measure Reporting (QMR) system reports for the FFY 2021 reporting cycle as of June 1, 2023.</t>
        </is>
      </c>
      <c r="I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t>
        </is>
      </c>
      <c r="J13" s="4" t="n">
        <v>0.171</v>
      </c>
      <c r="K13" s="4" t="n">
        <v>0.166</v>
      </c>
      <c r="L13" s="4" t="n">
        <v>0.253</v>
      </c>
      <c r="M13" s="4" t="n">
        <v>0.042</v>
      </c>
      <c r="N13" s="4" t="n">
        <v>0.128</v>
      </c>
      <c r="O13" s="4" t="n">
        <v>0.205</v>
      </c>
    </row>
    <row r="14">
      <c r="A14" t="inlineStr">
        <is>
          <t>Long-Acting Reversible Method of Contraception</t>
        </is>
      </c>
      <c r="B14" t="inlineStr">
        <is>
          <t>60-Days Postpartum</t>
        </is>
      </c>
      <c r="C14" t="n">
        <v>2021</v>
      </c>
      <c r="D14" t="inlineStr">
        <is>
          <t>CHIP only</t>
        </is>
      </c>
      <c r="E14" t="inlineStr"/>
      <c r="F14" t="inlineStr">
        <is>
          <t>Percentage of Postpartum Women with a Live Birth Provided a Long-Acting Reversible Method of Contraception Within 60 Days of Delivery: Ages 15 to 20</t>
        </is>
      </c>
      <c r="G14" t="inlineStr">
        <is>
          <t>Higher values are better</t>
        </is>
      </c>
      <c r="H14" t="inlineStr">
        <is>
          <t>Mathematica analysis of the Quality Measure Reporting (QMR) system reports for the FFY 2021 reporting cycle as of June 1, 2023.</t>
        </is>
      </c>
      <c r="I14" t="inlineStr">
        <is>
          <t>State-specific comments: None</t>
        </is>
      </c>
      <c r="J14" t="inlineStr">
        <is>
          <t>Not Reported</t>
        </is>
      </c>
      <c r="K14" s="4" t="n">
        <v>0.166</v>
      </c>
      <c r="L14" s="4" t="n">
        <v>0.253</v>
      </c>
      <c r="M14" s="4" t="n">
        <v>0.042</v>
      </c>
      <c r="N14" s="4" t="n">
        <v>0.128</v>
      </c>
      <c r="O14" s="4" t="n">
        <v>0.205</v>
      </c>
    </row>
    <row r="15">
      <c r="A15" t="inlineStr">
        <is>
          <t>Long-Acting Reversible Method of Contraception</t>
        </is>
      </c>
      <c r="B15" t="inlineStr">
        <is>
          <t>60-Days Postpartum</t>
        </is>
      </c>
      <c r="C15" t="n">
        <v>2022</v>
      </c>
      <c r="D15" t="inlineStr">
        <is>
          <t>Medicaid only</t>
        </is>
      </c>
      <c r="E15" t="inlineStr">
        <is>
          <t>Administrative</t>
        </is>
      </c>
      <c r="F15" t="inlineStr">
        <is>
          <t>Percentage of Postpartum Women with a Live Birth Provided a Long-Acting Reversible Method of Contraception Within 60 Days of Delivery: Ages 15 to 20</t>
        </is>
      </c>
      <c r="G15" t="inlineStr">
        <is>
          <t>Higher values are better</t>
        </is>
      </c>
      <c r="H15" t="inlineStr">
        <is>
          <t>Mathematica analysis of the Quality Measure Reporting (QMR) system reports for the FFY 2022 reporting cycle as of June 1, 2023.</t>
        </is>
      </c>
      <c r="I1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5" s="4" t="n">
        <v>0.154</v>
      </c>
      <c r="K15" s="4" t="n">
        <v>0.153</v>
      </c>
      <c r="L15" s="4" t="n">
        <v>0.25</v>
      </c>
      <c r="M15" s="4" t="n">
        <v>0.013</v>
      </c>
      <c r="N15" s="4" t="n">
        <v>0.121</v>
      </c>
      <c r="O15" s="4" t="n">
        <v>0.18</v>
      </c>
    </row>
    <row r="16">
      <c r="A16" t="inlineStr">
        <is>
          <t>Long-Acting Reversible Method of Contraception</t>
        </is>
      </c>
      <c r="B16" t="inlineStr">
        <is>
          <t>60-Days Postpartum</t>
        </is>
      </c>
      <c r="C16" t="n">
        <v>2022</v>
      </c>
      <c r="D16" t="inlineStr">
        <is>
          <t>CHIP only</t>
        </is>
      </c>
      <c r="E16" t="inlineStr"/>
      <c r="F16" t="inlineStr">
        <is>
          <t>Percentage of Postpartum Women with a Live Birth Provided a Long-Acting Reversible Method of Contraception Within 60 Days of Delivery: Ages 15 to 20</t>
        </is>
      </c>
      <c r="G16" t="inlineStr">
        <is>
          <t>Higher values are better</t>
        </is>
      </c>
      <c r="H16" t="inlineStr">
        <is>
          <t>Mathematica analysis of the Quality Measure Reporting (QMR) system reports for the FFY 2022 reporting cycle as of June 1, 2023.</t>
        </is>
      </c>
      <c r="I16" t="inlineStr">
        <is>
          <t>State-specific comments: None</t>
        </is>
      </c>
      <c r="J16" t="inlineStr">
        <is>
          <t>Not Reported</t>
        </is>
      </c>
      <c r="K16" s="4" t="n">
        <v>0.153</v>
      </c>
      <c r="L16" s="4" t="n">
        <v>0.25</v>
      </c>
      <c r="M16" s="4" t="n">
        <v>0.013</v>
      </c>
      <c r="N16" s="4" t="n">
        <v>0.121</v>
      </c>
      <c r="O16" s="4" t="n">
        <v>0.18</v>
      </c>
    </row>
    <row r="17">
      <c r="A17" t="inlineStr">
        <is>
          <t>Long-Acting Reversible Method of Contraception</t>
        </is>
      </c>
      <c r="B17" t="inlineStr">
        <is>
          <t>90-Days Postpartum</t>
        </is>
      </c>
      <c r="C17" t="n">
        <v>2023</v>
      </c>
      <c r="D17" t="inlineStr">
        <is>
          <t>Medicaid only</t>
        </is>
      </c>
      <c r="E17" t="inlineStr">
        <is>
          <t>Administrative</t>
        </is>
      </c>
      <c r="F17" t="inlineStr">
        <is>
          <t>Percentage of Postpartum Women with a Live Birth Provided a Long-Acting Reversible Method of Contraception Within 90 Days of Delivery: Ages 15 to 20</t>
        </is>
      </c>
      <c r="G17" t="inlineStr">
        <is>
          <t>Higher values are better</t>
        </is>
      </c>
      <c r="H17" t="inlineStr">
        <is>
          <t>Mathematica analysis of the Quality Measure Reporting (QMR) system reports for the 2023 Core Set as of May 16, 2024.</t>
        </is>
      </c>
      <c r="I1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7" s="4" t="n">
        <v>0.194</v>
      </c>
      <c r="K17" s="4" t="n">
        <v>0.181</v>
      </c>
      <c r="L17" s="4" t="n">
        <v>0.276</v>
      </c>
      <c r="M17" s="4" t="n">
        <v>0.073</v>
      </c>
      <c r="N17" s="4" t="n">
        <v>0.155</v>
      </c>
      <c r="O17" s="4" t="n">
        <v>0.21</v>
      </c>
    </row>
    <row r="18">
      <c r="A18" t="inlineStr">
        <is>
          <t>Long-Acting Reversible Method of Contraception</t>
        </is>
      </c>
      <c r="B18" t="inlineStr">
        <is>
          <t>90-Days Postpartum</t>
        </is>
      </c>
      <c r="C18" t="n">
        <v>2023</v>
      </c>
      <c r="D18" t="inlineStr">
        <is>
          <t>CHIP only</t>
        </is>
      </c>
      <c r="E18" t="inlineStr"/>
      <c r="F18" t="inlineStr">
        <is>
          <t>Percentage of Postpartum Women with a Live Birth Provided a Long-Acting Reversible Method of Contraception Within 90 Days of Delivery: Ages 15 to 20</t>
        </is>
      </c>
      <c r="G18" t="inlineStr">
        <is>
          <t>Higher values are better</t>
        </is>
      </c>
      <c r="H18" t="inlineStr">
        <is>
          <t>Mathematica analysis of the Quality Measure Reporting (QMR) system reports for the 2023 Core Set as of May 16, 2024.</t>
        </is>
      </c>
      <c r="I18" t="inlineStr">
        <is>
          <t>State-specific comments: None</t>
        </is>
      </c>
      <c r="J18" t="inlineStr">
        <is>
          <t>Not Reported</t>
        </is>
      </c>
      <c r="K18" s="4" t="n">
        <v>0.181</v>
      </c>
      <c r="L18" s="4" t="n">
        <v>0.276</v>
      </c>
      <c r="M18" s="4" t="n">
        <v>0.073</v>
      </c>
      <c r="N18" s="4" t="n">
        <v>0.155</v>
      </c>
      <c r="O18" s="4" t="n">
        <v>0.21</v>
      </c>
    </row>
    <row r="19">
      <c r="A19" t="inlineStr">
        <is>
          <t>Long-Acting Reversible Method of Contraception</t>
        </is>
      </c>
      <c r="B19" t="inlineStr">
        <is>
          <t>90-Days Postpartum</t>
        </is>
      </c>
      <c r="C19" t="n">
        <v>2024</v>
      </c>
      <c r="D19" t="inlineStr">
        <is>
          <t>Medicaid (Title XIX), Title XXI-funded Medicaid Expansion CHIP</t>
        </is>
      </c>
      <c r="E19" t="inlineStr">
        <is>
          <t>Administrative</t>
        </is>
      </c>
      <c r="F19" t="inlineStr">
        <is>
          <t>Percentage of Postpartum Women with a Live Birth Provided a Long-Acting Reversible Method of Contraception Within 90 Days of Delivery: Ages 15 to 20</t>
        </is>
      </c>
      <c r="G19" t="inlineStr">
        <is>
          <t>Higher values are better</t>
        </is>
      </c>
      <c r="H19" t="inlineStr">
        <is>
          <t>Mathematica analysis of the Quality Measure Reporting (QMR) system reports for the 2024 Core Set as of April 28, 2025.</t>
        </is>
      </c>
      <c r="I19"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9" s="4" t="n">
        <v>0.205</v>
      </c>
      <c r="K19" s="4" t="n">
        <v>0.193</v>
      </c>
      <c r="L19" s="4" t="n">
        <v>0.376</v>
      </c>
      <c r="M19" s="4" t="n">
        <v>0.098</v>
      </c>
      <c r="N19" s="4" t="n">
        <v>0.166</v>
      </c>
      <c r="O19" s="4" t="n">
        <v>0.233</v>
      </c>
    </row>
    <row r="20">
      <c r="A20" t="inlineStr">
        <is>
          <t>Most or Moderately Effective Contraceptive</t>
        </is>
      </c>
      <c r="B20" t="inlineStr">
        <is>
          <t>3-Days Postpartum</t>
        </is>
      </c>
      <c r="C20" t="n">
        <v>2021</v>
      </c>
      <c r="D20" t="inlineStr">
        <is>
          <t>Medicaid only</t>
        </is>
      </c>
      <c r="E20" t="inlineStr">
        <is>
          <t>Administrative</t>
        </is>
      </c>
      <c r="F20" t="inlineStr">
        <is>
          <t>Percentage of Postpartum Women with a Live Birth Provided a Most Effective or Moderately Effective Method of Contraception Within 3 Days of Delivery: Ages 15 to 20</t>
        </is>
      </c>
      <c r="G20" t="inlineStr">
        <is>
          <t>Higher values are better</t>
        </is>
      </c>
      <c r="H20" t="inlineStr">
        <is>
          <t>Mathematica analysis of the Quality Measure Reporting (QMR) system reports for the FFY 2021 reporting cycle as of June 1, 2023.</t>
        </is>
      </c>
      <c r="I2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t>
        </is>
      </c>
      <c r="J20" s="4" t="n">
        <v>0.028</v>
      </c>
      <c r="K20" s="4" t="n">
        <v>0.056</v>
      </c>
      <c r="L20" s="4" t="n">
        <v>0.202</v>
      </c>
      <c r="M20" s="4" t="n">
        <v>0.015</v>
      </c>
      <c r="N20" s="4" t="n">
        <v>0.031</v>
      </c>
      <c r="O20" s="4" t="n">
        <v>0.092</v>
      </c>
    </row>
    <row r="21">
      <c r="A21" t="inlineStr">
        <is>
          <t>Most or Moderately Effective Contraceptive</t>
        </is>
      </c>
      <c r="B21" t="inlineStr">
        <is>
          <t>3-Days Postpartum</t>
        </is>
      </c>
      <c r="C21" t="n">
        <v>2021</v>
      </c>
      <c r="D21" t="inlineStr">
        <is>
          <t>CHIP only</t>
        </is>
      </c>
      <c r="E21" t="inlineStr"/>
      <c r="F21" t="inlineStr">
        <is>
          <t>Percentage of Postpartum Women with a Live Birth Provided a Most Effective or Moderately Effective Method of Contraception Within 3 Days of Delivery: Ages 15 to 20</t>
        </is>
      </c>
      <c r="G21" t="inlineStr">
        <is>
          <t>Higher values are better</t>
        </is>
      </c>
      <c r="H21" t="inlineStr">
        <is>
          <t>Mathematica analysis of the Quality Measure Reporting (QMR) system reports for the FFY 2021 reporting cycle as of June 1, 2023.</t>
        </is>
      </c>
      <c r="I21" t="inlineStr">
        <is>
          <t>State-specific comments: None</t>
        </is>
      </c>
      <c r="J21" t="inlineStr">
        <is>
          <t>Not Reported</t>
        </is>
      </c>
      <c r="K21" s="4" t="n">
        <v>0.056</v>
      </c>
      <c r="L21" s="4" t="n">
        <v>0.202</v>
      </c>
      <c r="M21" s="4" t="n">
        <v>0.015</v>
      </c>
      <c r="N21" s="4" t="n">
        <v>0.031</v>
      </c>
      <c r="O21" s="4" t="n">
        <v>0.092</v>
      </c>
    </row>
    <row r="22">
      <c r="A22" t="inlineStr">
        <is>
          <t>Most or Moderately Effective Contraceptive</t>
        </is>
      </c>
      <c r="B22" t="inlineStr">
        <is>
          <t>3-Days Postpartum</t>
        </is>
      </c>
      <c r="C22" t="n">
        <v>2022</v>
      </c>
      <c r="D22" t="inlineStr">
        <is>
          <t>Medicaid only</t>
        </is>
      </c>
      <c r="E22" t="inlineStr">
        <is>
          <t>Administrative</t>
        </is>
      </c>
      <c r="F22" t="inlineStr">
        <is>
          <t>Percentage of Postpartum Women with a Live Birth Provided a Most Effective or Moderately Effective Method of Contraception Within 3 Days of Delivery: Ages 15 to 20</t>
        </is>
      </c>
      <c r="G22" t="inlineStr">
        <is>
          <t>Higher values are better</t>
        </is>
      </c>
      <c r="H22" t="inlineStr">
        <is>
          <t>Mathematica analysis of the Quality Measure Reporting (QMR) system reports for the FFY 2022 reporting cycle as of June 1, 2023.</t>
        </is>
      </c>
      <c r="I22"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2" s="4" t="n">
        <v>0.031</v>
      </c>
      <c r="K22" s="4" t="n">
        <v>0.057</v>
      </c>
      <c r="L22" s="4" t="n">
        <v>0.163</v>
      </c>
      <c r="M22" s="4" t="n">
        <v>0.02</v>
      </c>
      <c r="N22" s="4" t="n">
        <v>0.038</v>
      </c>
      <c r="O22" s="4" t="n">
        <v>0.08500000000000001</v>
      </c>
    </row>
    <row r="23">
      <c r="A23" t="inlineStr">
        <is>
          <t>Most or Moderately Effective Contraceptive</t>
        </is>
      </c>
      <c r="B23" t="inlineStr">
        <is>
          <t>3-Days Postpartum</t>
        </is>
      </c>
      <c r="C23" t="n">
        <v>2022</v>
      </c>
      <c r="D23" t="inlineStr">
        <is>
          <t>CHIP only</t>
        </is>
      </c>
      <c r="E23" t="inlineStr"/>
      <c r="F23" t="inlineStr">
        <is>
          <t>Percentage of Postpartum Women with a Live Birth Provided a Most Effective or Moderately Effective Method of Contraception Within 3 Days of Delivery: Ages 15 to 20</t>
        </is>
      </c>
      <c r="G23" t="inlineStr">
        <is>
          <t>Higher values are better</t>
        </is>
      </c>
      <c r="H23" t="inlineStr">
        <is>
          <t>Mathematica analysis of the Quality Measure Reporting (QMR) system reports for the FFY 2022 reporting cycle as of June 1, 2023.</t>
        </is>
      </c>
      <c r="I23" t="inlineStr">
        <is>
          <t>State-specific comments: None</t>
        </is>
      </c>
      <c r="J23" t="inlineStr">
        <is>
          <t>Not Reported</t>
        </is>
      </c>
      <c r="K23" s="4" t="n">
        <v>0.057</v>
      </c>
      <c r="L23" s="4" t="n">
        <v>0.163</v>
      </c>
      <c r="M23" s="4" t="n">
        <v>0.02</v>
      </c>
      <c r="N23" s="4" t="n">
        <v>0.038</v>
      </c>
      <c r="O23" s="4" t="n">
        <v>0.08500000000000001</v>
      </c>
    </row>
    <row r="24">
      <c r="A24" t="inlineStr">
        <is>
          <t>Most or Moderately Effective Contraceptive</t>
        </is>
      </c>
      <c r="B24" t="inlineStr">
        <is>
          <t>3-Days Postpartum</t>
        </is>
      </c>
      <c r="C24" t="n">
        <v>2023</v>
      </c>
      <c r="D24" t="inlineStr">
        <is>
          <t>Medicaid only</t>
        </is>
      </c>
      <c r="E24" t="inlineStr">
        <is>
          <t>Administrative</t>
        </is>
      </c>
      <c r="F24" t="inlineStr">
        <is>
          <t>Percentage of Postpartum Women with a Live Birth Provided a Most Effective or Moderately Effective Method of Contraception Within 3 Days of Delivery: Ages 15 to 20</t>
        </is>
      </c>
      <c r="G24" t="inlineStr">
        <is>
          <t>Higher values are better</t>
        </is>
      </c>
      <c r="H24" t="inlineStr">
        <is>
          <t>Mathematica analysis of the Quality Measure Reporting (QMR) system reports for the 2023 Core Set as of May 16, 2024.</t>
        </is>
      </c>
      <c r="I2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4" s="4" t="n">
        <v>0.031</v>
      </c>
      <c r="K24" s="4" t="n">
        <v>0.059</v>
      </c>
      <c r="L24" s="4" t="n">
        <v>0.158</v>
      </c>
      <c r="M24" s="4" t="n">
        <v>0</v>
      </c>
      <c r="N24" s="4" t="n">
        <v>0.032</v>
      </c>
      <c r="O24" s="4" t="n">
        <v>0.077</v>
      </c>
    </row>
    <row r="25">
      <c r="A25" t="inlineStr">
        <is>
          <t>Most or Moderately Effective Contraceptive</t>
        </is>
      </c>
      <c r="B25" t="inlineStr">
        <is>
          <t>3-Days Postpartum</t>
        </is>
      </c>
      <c r="C25" t="n">
        <v>2023</v>
      </c>
      <c r="D25" t="inlineStr">
        <is>
          <t>CHIP only</t>
        </is>
      </c>
      <c r="E25" t="inlineStr"/>
      <c r="F25" t="inlineStr">
        <is>
          <t>Percentage of Postpartum Women with a Live Birth Provided a Most Effective or Moderately Effective Method of Contraception Within 3 Days of Delivery: Ages 15 to 20</t>
        </is>
      </c>
      <c r="G25" t="inlineStr">
        <is>
          <t>Higher values are better</t>
        </is>
      </c>
      <c r="H25" t="inlineStr">
        <is>
          <t>Mathematica analysis of the Quality Measure Reporting (QMR) system reports for the 2023 Core Set as of May 16, 2024.</t>
        </is>
      </c>
      <c r="I25" t="inlineStr">
        <is>
          <t>State-specific comments: None</t>
        </is>
      </c>
      <c r="J25" t="inlineStr">
        <is>
          <t>Not Reported</t>
        </is>
      </c>
      <c r="K25" s="4" t="n">
        <v>0.059</v>
      </c>
      <c r="L25" s="4" t="n">
        <v>0.158</v>
      </c>
      <c r="M25" s="4" t="n">
        <v>0</v>
      </c>
      <c r="N25" s="4" t="n">
        <v>0.032</v>
      </c>
      <c r="O25" s="4" t="n">
        <v>0.077</v>
      </c>
    </row>
    <row r="26">
      <c r="A26" t="inlineStr">
        <is>
          <t>Most or Moderately Effective Contraceptive</t>
        </is>
      </c>
      <c r="B26" t="inlineStr">
        <is>
          <t>3-Days Postpartum</t>
        </is>
      </c>
      <c r="C26" t="n">
        <v>2024</v>
      </c>
      <c r="D26" t="inlineStr">
        <is>
          <t>Medicaid (Title XIX), Title XXI-funded Medicaid Expansion CHIP</t>
        </is>
      </c>
      <c r="E26" t="inlineStr">
        <is>
          <t>Administrative</t>
        </is>
      </c>
      <c r="F26" t="inlineStr">
        <is>
          <t>Percentage of Postpartum Women with a Live Birth Provided a Most Effective or Moderately Effective Method of Contraception Within 3 Days of Delivery: Ages 15 to 20</t>
        </is>
      </c>
      <c r="G26" t="inlineStr">
        <is>
          <t>Higher values are better</t>
        </is>
      </c>
      <c r="H26" t="inlineStr">
        <is>
          <t>Mathematica analysis of the Quality Measure Reporting (QMR) system reports for the 2024 Core Set as of April 28, 2025.</t>
        </is>
      </c>
      <c r="I26"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6" s="4" t="n">
        <v>0.038</v>
      </c>
      <c r="K26" s="4" t="n">
        <v>0.058</v>
      </c>
      <c r="L26" s="4" t="n">
        <v>0.201</v>
      </c>
      <c r="M26" s="4" t="n">
        <v>0</v>
      </c>
      <c r="N26" s="4" t="n">
        <v>0.038</v>
      </c>
      <c r="O26" s="4" t="n">
        <v>0.08699999999999999</v>
      </c>
    </row>
    <row r="27">
      <c r="A27" t="inlineStr">
        <is>
          <t>Most or Moderately Effective Contraceptive</t>
        </is>
      </c>
      <c r="B27" t="inlineStr">
        <is>
          <t>60-Days Postpartum</t>
        </is>
      </c>
      <c r="C27" t="n">
        <v>2021</v>
      </c>
      <c r="D27" t="inlineStr">
        <is>
          <t>Medicaid only</t>
        </is>
      </c>
      <c r="E27" t="inlineStr">
        <is>
          <t>Administrative</t>
        </is>
      </c>
      <c r="F27" t="inlineStr">
        <is>
          <t>Percentage of Postpartum Women with a Live Birth Provided a Most Effective or Moderately Effective Method of Contraception Within 60 Days of Delivery: Ages 15 to 20</t>
        </is>
      </c>
      <c r="G27" t="inlineStr">
        <is>
          <t>Higher values are better</t>
        </is>
      </c>
      <c r="H27" t="inlineStr">
        <is>
          <t>Mathematica analysis of the Quality Measure Reporting (QMR) system reports for the FFY 2021 reporting cycle as of June 1, 2023.</t>
        </is>
      </c>
      <c r="I2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t>
        </is>
      </c>
      <c r="J27" s="4" t="n">
        <v>0.402</v>
      </c>
      <c r="K27" s="4" t="n">
        <v>0.402</v>
      </c>
      <c r="L27" s="4" t="n">
        <v>0.5659999999999999</v>
      </c>
      <c r="M27" s="4" t="n">
        <v>0.191</v>
      </c>
      <c r="N27" s="4" t="n">
        <v>0.341</v>
      </c>
      <c r="O27" s="4" t="n">
        <v>0.468</v>
      </c>
    </row>
    <row r="28">
      <c r="A28" t="inlineStr">
        <is>
          <t>Most or Moderately Effective Contraceptive</t>
        </is>
      </c>
      <c r="B28" t="inlineStr">
        <is>
          <t>60-Days Postpartum</t>
        </is>
      </c>
      <c r="C28" t="n">
        <v>2021</v>
      </c>
      <c r="D28" t="inlineStr">
        <is>
          <t>CHIP only</t>
        </is>
      </c>
      <c r="E28" t="inlineStr"/>
      <c r="F28" t="inlineStr">
        <is>
          <t>Percentage of Postpartum Women with a Live Birth Provided a Most Effective or Moderately Effective Method of Contraception Within 60 Days of Delivery: Ages 15 to 20</t>
        </is>
      </c>
      <c r="G28" t="inlineStr">
        <is>
          <t>Higher values are better</t>
        </is>
      </c>
      <c r="H28" t="inlineStr">
        <is>
          <t>Mathematica analysis of the Quality Measure Reporting (QMR) system reports for the FFY 2021 reporting cycle as of June 1, 2023.</t>
        </is>
      </c>
      <c r="I28" t="inlineStr">
        <is>
          <t>State-specific comments: None</t>
        </is>
      </c>
      <c r="J28" t="inlineStr">
        <is>
          <t>Not Reported</t>
        </is>
      </c>
      <c r="K28" s="4" t="n">
        <v>0.402</v>
      </c>
      <c r="L28" s="4" t="n">
        <v>0.5659999999999999</v>
      </c>
      <c r="M28" s="4" t="n">
        <v>0.191</v>
      </c>
      <c r="N28" s="4" t="n">
        <v>0.341</v>
      </c>
      <c r="O28" s="4" t="n">
        <v>0.468</v>
      </c>
    </row>
    <row r="29">
      <c r="A29" t="inlineStr">
        <is>
          <t>Most or Moderately Effective Contraceptive</t>
        </is>
      </c>
      <c r="B29" t="inlineStr">
        <is>
          <t>60-Days Postpartum</t>
        </is>
      </c>
      <c r="C29" t="n">
        <v>2022</v>
      </c>
      <c r="D29" t="inlineStr">
        <is>
          <t>Medicaid only</t>
        </is>
      </c>
      <c r="E29" t="inlineStr">
        <is>
          <t>Administrative</t>
        </is>
      </c>
      <c r="F29" t="inlineStr">
        <is>
          <t>Percentage of Postpartum Women with a Live Birth Provided a Most Effective or Moderately Effective Method of Contraception Within 60 Days of Delivery: Ages 15 to 20</t>
        </is>
      </c>
      <c r="G29" t="inlineStr">
        <is>
          <t>Higher values are better</t>
        </is>
      </c>
      <c r="H29" t="inlineStr">
        <is>
          <t>Mathematica analysis of the Quality Measure Reporting (QMR) system reports for the FFY 2022 reporting cycle as of June 1, 2023.</t>
        </is>
      </c>
      <c r="I29"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9" s="4" t="n">
        <v>0.364</v>
      </c>
      <c r="K29" s="4" t="n">
        <v>0.394</v>
      </c>
      <c r="L29" s="4" t="n">
        <v>0.478</v>
      </c>
      <c r="M29" s="4" t="n">
        <v>0.13</v>
      </c>
      <c r="N29" s="4" t="n">
        <v>0.341</v>
      </c>
      <c r="O29" s="4" t="n">
        <v>0.442</v>
      </c>
    </row>
    <row r="30">
      <c r="A30" t="inlineStr">
        <is>
          <t>Most or Moderately Effective Contraceptive</t>
        </is>
      </c>
      <c r="B30" t="inlineStr">
        <is>
          <t>60-Days Postpartum</t>
        </is>
      </c>
      <c r="C30" t="n">
        <v>2022</v>
      </c>
      <c r="D30" t="inlineStr">
        <is>
          <t>CHIP only</t>
        </is>
      </c>
      <c r="E30" t="inlineStr"/>
      <c r="F30" t="inlineStr">
        <is>
          <t>Percentage of Postpartum Women with a Live Birth Provided a Most Effective or Moderately Effective Method of Contraception Within 60 Days of Delivery: Ages 15 to 20</t>
        </is>
      </c>
      <c r="G30" t="inlineStr">
        <is>
          <t>Higher values are better</t>
        </is>
      </c>
      <c r="H30" t="inlineStr">
        <is>
          <t>Mathematica analysis of the Quality Measure Reporting (QMR) system reports for the FFY 2022 reporting cycle as of June 1, 2023.</t>
        </is>
      </c>
      <c r="I30" t="inlineStr">
        <is>
          <t>State-specific comments: None</t>
        </is>
      </c>
      <c r="J30" t="inlineStr">
        <is>
          <t>Not Reported</t>
        </is>
      </c>
      <c r="K30" s="4" t="n">
        <v>0.394</v>
      </c>
      <c r="L30" s="4" t="n">
        <v>0.478</v>
      </c>
      <c r="M30" s="4" t="n">
        <v>0.13</v>
      </c>
      <c r="N30" s="4" t="n">
        <v>0.341</v>
      </c>
      <c r="O30" s="4" t="n">
        <v>0.442</v>
      </c>
    </row>
    <row r="31">
      <c r="A31" t="inlineStr">
        <is>
          <t>Most or Moderately Effective Contraceptive</t>
        </is>
      </c>
      <c r="B31" t="inlineStr">
        <is>
          <t>90-Days Postpartum</t>
        </is>
      </c>
      <c r="C31" t="n">
        <v>2023</v>
      </c>
      <c r="D31" t="inlineStr">
        <is>
          <t>Medicaid only</t>
        </is>
      </c>
      <c r="E31" t="inlineStr">
        <is>
          <t>Administrative</t>
        </is>
      </c>
      <c r="F31" t="inlineStr">
        <is>
          <t>Percentage of Postpartum Women with a Live Birth Provided a Most Effective or Moderately Effective Method of Contraception Within 90 Days of Delivery: Ages 15 to 20</t>
        </is>
      </c>
      <c r="G31" t="inlineStr">
        <is>
          <t>Higher values are better</t>
        </is>
      </c>
      <c r="H31" t="inlineStr">
        <is>
          <t>Mathematica analysis of the Quality Measure Reporting (QMR) system reports for the 2023 Core Set as of May 16, 2024.</t>
        </is>
      </c>
      <c r="I3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1" s="4" t="n">
        <v>0.432</v>
      </c>
      <c r="K31" s="4" t="n">
        <v>0.453</v>
      </c>
      <c r="L31" s="4" t="n">
        <v>0.5669999999999999</v>
      </c>
      <c r="M31" s="4" t="n">
        <v>0.093</v>
      </c>
      <c r="N31" s="4" t="n">
        <v>0.402</v>
      </c>
      <c r="O31" s="4" t="n">
        <v>0.519</v>
      </c>
    </row>
    <row r="32">
      <c r="A32" t="inlineStr">
        <is>
          <t>Most or Moderately Effective Contraceptive</t>
        </is>
      </c>
      <c r="B32" t="inlineStr">
        <is>
          <t>90-Days Postpartum</t>
        </is>
      </c>
      <c r="C32" t="n">
        <v>2023</v>
      </c>
      <c r="D32" t="inlineStr">
        <is>
          <t>CHIP only</t>
        </is>
      </c>
      <c r="E32" t="inlineStr"/>
      <c r="F32" t="inlineStr">
        <is>
          <t>Percentage of Postpartum Women with a Live Birth Provided a Most Effective or Moderately Effective Method of Contraception Within 90 Days of Delivery: Ages 15 to 20</t>
        </is>
      </c>
      <c r="G32" t="inlineStr">
        <is>
          <t>Higher values are better</t>
        </is>
      </c>
      <c r="H32" t="inlineStr">
        <is>
          <t>Mathematica analysis of the Quality Measure Reporting (QMR) system reports for the 2023 Core Set as of May 16, 2024.</t>
        </is>
      </c>
      <c r="I32" t="inlineStr">
        <is>
          <t>State-specific comments: None</t>
        </is>
      </c>
      <c r="J32" t="inlineStr">
        <is>
          <t>Not Reported</t>
        </is>
      </c>
      <c r="K32" s="4" t="n">
        <v>0.453</v>
      </c>
      <c r="L32" s="4" t="n">
        <v>0.5669999999999999</v>
      </c>
      <c r="M32" s="4" t="n">
        <v>0.093</v>
      </c>
      <c r="N32" s="4" t="n">
        <v>0.402</v>
      </c>
      <c r="O32" s="4" t="n">
        <v>0.519</v>
      </c>
    </row>
    <row r="33">
      <c r="A33" t="inlineStr">
        <is>
          <t>Most or Moderately Effective Contraceptive</t>
        </is>
      </c>
      <c r="B33" t="inlineStr">
        <is>
          <t>90-Days Postpartum</t>
        </is>
      </c>
      <c r="C33" t="n">
        <v>2024</v>
      </c>
      <c r="D33" t="inlineStr">
        <is>
          <t>Medicaid (Title XIX), Title XXI-funded Medicaid Expansion CHIP</t>
        </is>
      </c>
      <c r="E33" t="inlineStr">
        <is>
          <t>Administrative</t>
        </is>
      </c>
      <c r="F33" t="inlineStr">
        <is>
          <t>Percentage of Postpartum Women with a Live Birth Provided a Most Effective or Moderately Effective Method of Contraception Within 90 Days of Delivery: Ages 15 to 20</t>
        </is>
      </c>
      <c r="G33" t="inlineStr">
        <is>
          <t>Higher values are better</t>
        </is>
      </c>
      <c r="H33" t="inlineStr">
        <is>
          <t>Mathematica analysis of the Quality Measure Reporting (QMR) system reports for the 2024 Core Set as of April 28, 2025.</t>
        </is>
      </c>
      <c r="I33"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3" s="4" t="n">
        <v>0.437</v>
      </c>
      <c r="K33" s="4" t="n">
        <v>0.474</v>
      </c>
      <c r="L33" s="4" t="n">
        <v>0.696</v>
      </c>
      <c r="M33" s="4" t="n">
        <v>0.316</v>
      </c>
      <c r="N33" s="4" t="n">
        <v>0.431</v>
      </c>
      <c r="O33" s="4" t="n">
        <v>0.516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48" customWidth="1" min="1" max="1"/>
    <col width="20" customWidth="1" min="2" max="2"/>
    <col width="13" customWidth="1" min="3" max="3"/>
    <col width="60" customWidth="1" min="4" max="4"/>
    <col width="16" customWidth="1" min="5" max="5"/>
    <col width="60" customWidth="1" min="6" max="6"/>
    <col width="26" customWidth="1" min="7" max="7"/>
    <col width="60" customWidth="1" min="8" max="8"/>
    <col width="60" customWidth="1" min="9" max="9"/>
    <col width="7" customWidth="1" min="10" max="10"/>
    <col width="8" customWidth="1" min="11" max="11"/>
    <col width="9" customWidth="1" min="12" max="12"/>
    <col width="9" customWidth="1" min="13" max="13"/>
    <col width="16" customWidth="1" min="14" max="14"/>
    <col width="16" customWidth="1" min="15" max="15"/>
  </cols>
  <sheetData>
    <row r="1">
      <c r="A1" t="inlineStr">
        <is>
          <t>Measure Name</t>
        </is>
      </c>
      <c r="B1" t="inlineStr">
        <is>
          <t>Contraceptive Care - Postpartum Women Ages 21 to 44 (CCP-AD)</t>
        </is>
      </c>
    </row>
    <row r="2">
      <c r="A2" t="inlineStr">
        <is>
          <t>Most or Moderately Effective Contraceptive: 90-Days Postpartum: Due to data source or specification changes, comparisons should only be made within the following Core Set Years: 2021-2022, 2023-2024. See measure information tab for more information.</t>
        </is>
      </c>
      <c r="B2" t="inlineStr"/>
    </row>
    <row r="3">
      <c r="A3" t="inlineStr">
        <is>
          <t>Long-Acting Reversible Method of Contraception: 90-Days Postpartum: Due to data source or specification changes, comparisons should only be made within the following Core Set Years: 2021-2022, 2023-2024. See measure information tab for more information.</t>
        </is>
      </c>
      <c r="B3" t="inlineStr"/>
    </row>
    <row r="4"/>
    <row r="5">
      <c r="A5" s="1" t="inlineStr">
        <is>
          <t>Method of Contraception</t>
        </is>
      </c>
      <c r="B5" s="1" t="inlineStr">
        <is>
          <t>Days Postpartum</t>
        </is>
      </c>
      <c r="C5" s="1" t="inlineStr">
        <is>
          <t>Data Period</t>
        </is>
      </c>
      <c r="D5" s="1" t="inlineStr">
        <is>
          <t>Population</t>
        </is>
      </c>
      <c r="E5" s="1" t="inlineStr">
        <is>
          <t>Methodology</t>
        </is>
      </c>
      <c r="F5" s="1" t="inlineStr">
        <is>
          <t>Value Type</t>
        </is>
      </c>
      <c r="G5" s="1" t="inlineStr">
        <is>
          <t>Value Directionality</t>
        </is>
      </c>
      <c r="H5" s="1" t="inlineStr">
        <is>
          <t>Analysis Source</t>
        </is>
      </c>
      <c r="I5" s="1" t="inlineStr">
        <is>
          <t>Notes</t>
        </is>
      </c>
      <c r="J5" s="1" t="inlineStr">
        <is>
          <t>Value</t>
        </is>
      </c>
      <c r="K5" s="1" t="inlineStr">
        <is>
          <t>Median</t>
        </is>
      </c>
      <c r="L5" s="1" t="inlineStr">
        <is>
          <t>Maximum</t>
        </is>
      </c>
      <c r="M5" s="1" t="inlineStr">
        <is>
          <t>Minimum</t>
        </is>
      </c>
      <c r="N5" s="1" t="inlineStr">
        <is>
          <t>First quartile</t>
        </is>
      </c>
      <c r="O5" s="1" t="inlineStr">
        <is>
          <t>Third quartile</t>
        </is>
      </c>
    </row>
    <row r="6">
      <c r="A6" t="inlineStr">
        <is>
          <t>Long-Acting Reversible Method of Contraception</t>
        </is>
      </c>
      <c r="B6" t="inlineStr">
        <is>
          <t>3-Days Postpartum</t>
        </is>
      </c>
      <c r="C6" t="n">
        <v>2021</v>
      </c>
      <c r="D6" t="inlineStr">
        <is>
          <t>Medicaid</t>
        </is>
      </c>
      <c r="E6" t="inlineStr">
        <is>
          <t>Administrative</t>
        </is>
      </c>
      <c r="F6" t="inlineStr">
        <is>
          <t>Percentage of Postpartum Women with a Live Birth Provided a Long-Acting Reversible Method of Contraception Within 3 Days of Delivery: Ages 21 to 44</t>
        </is>
      </c>
      <c r="G6" t="inlineStr">
        <is>
          <t>Higher values are better</t>
        </is>
      </c>
      <c r="H6" t="inlineStr">
        <is>
          <t>Mathematica analysis of the Quality Measure Reporting (QMR) system reports for the FFY 2021 reporting cycle as of June 1, 2023.</t>
        </is>
      </c>
      <c r="I6"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6" s="4" t="n">
        <v>0.008</v>
      </c>
      <c r="K6" s="4" t="n">
        <v>0.023</v>
      </c>
      <c r="L6" s="4" t="n">
        <v>0.111</v>
      </c>
      <c r="M6" s="4" t="n">
        <v>0</v>
      </c>
      <c r="N6" s="4" t="n">
        <v>0.008</v>
      </c>
      <c r="O6" s="4" t="n">
        <v>0.037</v>
      </c>
    </row>
    <row r="7">
      <c r="A7" t="inlineStr">
        <is>
          <t>Long-Acting Reversible Method of Contraception</t>
        </is>
      </c>
      <c r="B7" t="inlineStr">
        <is>
          <t>3-Days Postpartum</t>
        </is>
      </c>
      <c r="C7" t="n">
        <v>2022</v>
      </c>
      <c r="D7" t="inlineStr">
        <is>
          <t>Medicaid</t>
        </is>
      </c>
      <c r="E7" t="inlineStr">
        <is>
          <t>Administrative</t>
        </is>
      </c>
      <c r="F7" t="inlineStr">
        <is>
          <t>Percentage of Postpartum Women with a Live Birth Provided a Long-Acting Reversible Method of Contraception Within 3 Days of Delivery: Ages 21 to 44</t>
        </is>
      </c>
      <c r="G7" t="inlineStr">
        <is>
          <t>Higher values are better</t>
        </is>
      </c>
      <c r="H7" t="inlineStr">
        <is>
          <t>Mathematica analysis of the Quality Measure Reporting (QMR) system reports for the FFY 2022 reporting cycle as of June 1, 2023.</t>
        </is>
      </c>
      <c r="I7"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7" s="4" t="n">
        <v>0.008</v>
      </c>
      <c r="K7" s="4" t="n">
        <v>0.021</v>
      </c>
      <c r="L7" s="4" t="n">
        <v>0.096</v>
      </c>
      <c r="M7" s="4" t="n">
        <v>0.001</v>
      </c>
      <c r="N7" s="4" t="n">
        <v>0.008999999999999999</v>
      </c>
      <c r="O7" s="4" t="n">
        <v>0.03</v>
      </c>
    </row>
    <row r="8">
      <c r="A8" t="inlineStr">
        <is>
          <t>Long-Acting Reversible Method of Contraception</t>
        </is>
      </c>
      <c r="B8" t="inlineStr">
        <is>
          <t>3-Days Postpartum</t>
        </is>
      </c>
      <c r="C8" t="n">
        <v>2023</v>
      </c>
      <c r="D8" t="inlineStr">
        <is>
          <t>Medicaid</t>
        </is>
      </c>
      <c r="E8" t="inlineStr">
        <is>
          <t>Administrative</t>
        </is>
      </c>
      <c r="F8" t="inlineStr">
        <is>
          <t>Percentage of Postpartum Women with a Live Birth Provided a Long-Acting Reversible Method of Contraception Within 3 Days of Delivery: Ages 21 to 44</t>
        </is>
      </c>
      <c r="G8" t="inlineStr">
        <is>
          <t>Higher values are better</t>
        </is>
      </c>
      <c r="H8" t="inlineStr">
        <is>
          <t>Mathematica analysis of the Quality Measure Reporting (QMR) system reports for the 2023 Core Set as of May 16, 2024.</t>
        </is>
      </c>
      <c r="I8"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8" s="4" t="n">
        <v>0.008</v>
      </c>
      <c r="K8" s="4" t="n">
        <v>0.021</v>
      </c>
      <c r="L8" s="4" t="n">
        <v>0.076</v>
      </c>
      <c r="M8" s="4" t="n">
        <v>0.002</v>
      </c>
      <c r="N8" s="4" t="n">
        <v>0.01</v>
      </c>
      <c r="O8" s="4" t="n">
        <v>0.032</v>
      </c>
    </row>
    <row r="9">
      <c r="A9" t="inlineStr">
        <is>
          <t>Long-Acting Reversible Method of Contraception</t>
        </is>
      </c>
      <c r="B9" t="inlineStr">
        <is>
          <t>3-Days Postpartum</t>
        </is>
      </c>
      <c r="C9" t="n">
        <v>2024</v>
      </c>
      <c r="D9" t="inlineStr">
        <is>
          <t>Medicaid (Title XIX), Title XXI-funded Medicaid Expansion CHIP</t>
        </is>
      </c>
      <c r="E9" t="inlineStr">
        <is>
          <t>Administrative</t>
        </is>
      </c>
      <c r="F9" t="inlineStr">
        <is>
          <t>Percentage of Postpartum Women with a Live Birth Provided a Long-Acting Reversible Method of Contraception Within 3 Days of Delivery: Ages 21 to 44</t>
        </is>
      </c>
      <c r="G9" t="inlineStr">
        <is>
          <t>Higher values are better</t>
        </is>
      </c>
      <c r="H9" t="inlineStr">
        <is>
          <t>Mathematica analysis of the Quality Measure Reporting (QMR) system reports for the 2024 Core Set as of April 28, 2025.</t>
        </is>
      </c>
      <c r="I9"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9" s="4" t="n">
        <v>0.014</v>
      </c>
      <c r="K9" s="4" t="n">
        <v>0.021</v>
      </c>
      <c r="L9" s="4" t="n">
        <v>0.08500000000000001</v>
      </c>
      <c r="M9" s="4" t="n">
        <v>0.001</v>
      </c>
      <c r="N9" s="4" t="n">
        <v>0.014</v>
      </c>
      <c r="O9" s="4" t="n">
        <v>0.036</v>
      </c>
    </row>
    <row r="10">
      <c r="A10" t="inlineStr">
        <is>
          <t>Long-Acting Reversible Method of Contraception</t>
        </is>
      </c>
      <c r="B10" t="inlineStr">
        <is>
          <t>60-Days Postpartum</t>
        </is>
      </c>
      <c r="C10" t="n">
        <v>2021</v>
      </c>
      <c r="D10" t="inlineStr">
        <is>
          <t>Medicaid</t>
        </is>
      </c>
      <c r="E10" t="inlineStr">
        <is>
          <t>Administrative</t>
        </is>
      </c>
      <c r="F10" t="inlineStr">
        <is>
          <t>Percentage of Postpartum Women with a Live Birth Provided a Long-Acting Reversible Method of Contraception Within 60 Days of Delivery: Ages 21 to 44</t>
        </is>
      </c>
      <c r="G10" t="inlineStr">
        <is>
          <t>Higher values are better</t>
        </is>
      </c>
      <c r="H10" t="inlineStr">
        <is>
          <t>Mathematica analysis of the Quality Measure Reporting (QMR) system reports for the FFY 2021 reporting cycle as of June 1, 2023.</t>
        </is>
      </c>
      <c r="I10"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0" s="4" t="n">
        <v>0.132</v>
      </c>
      <c r="K10" s="4" t="n">
        <v>0.124</v>
      </c>
      <c r="L10" s="4" t="n">
        <v>0.185</v>
      </c>
      <c r="M10" s="4" t="n">
        <v>0.042</v>
      </c>
      <c r="N10" s="4" t="n">
        <v>0.1</v>
      </c>
      <c r="O10" s="4" t="n">
        <v>0.142</v>
      </c>
    </row>
    <row r="11">
      <c r="A11" t="inlineStr">
        <is>
          <t>Long-Acting Reversible Method of Contraception</t>
        </is>
      </c>
      <c r="B11" t="inlineStr">
        <is>
          <t>60-Days Postpartum</t>
        </is>
      </c>
      <c r="C11" t="n">
        <v>2022</v>
      </c>
      <c r="D11" t="inlineStr">
        <is>
          <t>Medicaid</t>
        </is>
      </c>
      <c r="E11" t="inlineStr">
        <is>
          <t>Administrative</t>
        </is>
      </c>
      <c r="F11" t="inlineStr">
        <is>
          <t>Percentage of Postpartum Women with a Live Birth Provided a Long-Acting Reversible Method of Contraception Within 60 Days of Delivery: Ages 21 to 44</t>
        </is>
      </c>
      <c r="G11" t="inlineStr">
        <is>
          <t>Higher values are better</t>
        </is>
      </c>
      <c r="H11" t="inlineStr">
        <is>
          <t>Mathematica analysis of the Quality Measure Reporting (QMR) system reports for the FFY 2022 reporting cycle as of June 1, 2023.</t>
        </is>
      </c>
      <c r="I11"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1" s="4" t="n">
        <v>0.117</v>
      </c>
      <c r="K11" s="4" t="n">
        <v>0.117</v>
      </c>
      <c r="L11" s="4" t="n">
        <v>0.214</v>
      </c>
      <c r="M11" s="4" t="n">
        <v>0.006</v>
      </c>
      <c r="N11" s="4" t="n">
        <v>0.091</v>
      </c>
      <c r="O11" s="4" t="n">
        <v>0.139</v>
      </c>
    </row>
    <row r="12">
      <c r="A12" t="inlineStr">
        <is>
          <t>Long-Acting Reversible Method of Contraception</t>
        </is>
      </c>
      <c r="B12" t="inlineStr">
        <is>
          <t>90-Days Postpartum</t>
        </is>
      </c>
      <c r="C12" t="n">
        <v>2023</v>
      </c>
      <c r="D12" t="inlineStr">
        <is>
          <t>Medicaid</t>
        </is>
      </c>
      <c r="E12" t="inlineStr">
        <is>
          <t>Administrative</t>
        </is>
      </c>
      <c r="F12" t="inlineStr">
        <is>
          <t>Percentage of Postpartum Women with a Live Birth Provided a Long-Acting Reversible Method of Contraception Within 90 Days of Delivery: Ages 21 to 44</t>
        </is>
      </c>
      <c r="G12" t="inlineStr">
        <is>
          <t>Higher values are better</t>
        </is>
      </c>
      <c r="H12" t="inlineStr">
        <is>
          <t>Mathematica analysis of the Quality Measure Reporting (QMR) system reports for the 2023 Core Set as of May 16, 2024.</t>
        </is>
      </c>
      <c r="I12"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2" s="4" t="n">
        <v>0.138</v>
      </c>
      <c r="K12" s="4" t="n">
        <v>0.138</v>
      </c>
      <c r="L12" s="4" t="n">
        <v>0.21</v>
      </c>
      <c r="M12" s="4" t="n">
        <v>0.01</v>
      </c>
      <c r="N12" s="4" t="n">
        <v>0.11</v>
      </c>
      <c r="O12" s="4" t="n">
        <v>0.152</v>
      </c>
    </row>
    <row r="13">
      <c r="A13" t="inlineStr">
        <is>
          <t>Long-Acting Reversible Method of Contraception</t>
        </is>
      </c>
      <c r="B13" t="inlineStr">
        <is>
          <t>90-Days Postpartum</t>
        </is>
      </c>
      <c r="C13" t="n">
        <v>2024</v>
      </c>
      <c r="D13" t="inlineStr">
        <is>
          <t>Medicaid (Title XIX), Title XXI-funded Medicaid Expansion CHIP</t>
        </is>
      </c>
      <c r="E13" t="inlineStr">
        <is>
          <t>Administrative</t>
        </is>
      </c>
      <c r="F13" t="inlineStr">
        <is>
          <t>Percentage of Postpartum Women with a Live Birth Provided a Long-Acting Reversible Method of Contraception Within 90 Days of Delivery: Ages 21 to 44</t>
        </is>
      </c>
      <c r="G13" t="inlineStr">
        <is>
          <t>Higher values are better</t>
        </is>
      </c>
      <c r="H13" t="inlineStr">
        <is>
          <t>Mathematica analysis of the Quality Measure Reporting (QMR) system reports for the 2024 Core Set as of April 28, 2025.</t>
        </is>
      </c>
      <c r="I13"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3" s="4" t="n">
        <v>0.141</v>
      </c>
      <c r="K13" s="4" t="n">
        <v>0.141</v>
      </c>
      <c r="L13" s="4" t="n">
        <v>0.194</v>
      </c>
      <c r="M13" s="4" t="n">
        <v>0.091</v>
      </c>
      <c r="N13" s="4" t="n">
        <v>0.115</v>
      </c>
      <c r="O13" s="4" t="n">
        <v>0.163</v>
      </c>
    </row>
    <row r="14">
      <c r="A14" t="inlineStr">
        <is>
          <t>Most or Moderately Effective Contraceptive</t>
        </is>
      </c>
      <c r="B14" t="inlineStr">
        <is>
          <t>3-Days Postpartum</t>
        </is>
      </c>
      <c r="C14" t="n">
        <v>2021</v>
      </c>
      <c r="D14" t="inlineStr">
        <is>
          <t>Medicaid</t>
        </is>
      </c>
      <c r="E14" t="inlineStr">
        <is>
          <t>Administrative</t>
        </is>
      </c>
      <c r="F14" t="inlineStr">
        <is>
          <t>Percentage of Postpartum Women with a Live Birth Provided a Most Effective or Moderately Effective Method of Contraception Within 3 Days of Delivery: Ages 21 to 44</t>
        </is>
      </c>
      <c r="G14" t="inlineStr">
        <is>
          <t>Higher values are better</t>
        </is>
      </c>
      <c r="H14" t="inlineStr">
        <is>
          <t>Mathematica analysis of the Quality Measure Reporting (QMR) system reports for the FFY 2021 reporting cycle as of June 1, 2023.</t>
        </is>
      </c>
      <c r="I14"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4" s="4" t="n">
        <v>0.119</v>
      </c>
      <c r="K14" s="4" t="n">
        <v>0.118</v>
      </c>
      <c r="L14" s="4" t="n">
        <v>0.351</v>
      </c>
      <c r="M14" s="4" t="n">
        <v>0.058</v>
      </c>
      <c r="N14" s="4" t="n">
        <v>0.096</v>
      </c>
      <c r="O14" s="4" t="n">
        <v>0.151</v>
      </c>
    </row>
    <row r="15">
      <c r="A15" t="inlineStr">
        <is>
          <t>Most or Moderately Effective Contraceptive</t>
        </is>
      </c>
      <c r="B15" t="inlineStr">
        <is>
          <t>3-Days Postpartum</t>
        </is>
      </c>
      <c r="C15" t="n">
        <v>2022</v>
      </c>
      <c r="D15" t="inlineStr">
        <is>
          <t>Medicaid</t>
        </is>
      </c>
      <c r="E15" t="inlineStr">
        <is>
          <t>Administrative</t>
        </is>
      </c>
      <c r="F15" t="inlineStr">
        <is>
          <t>Percentage of Postpartum Women with a Live Birth Provided a Most Effective or Moderately Effective Method of Contraception Within 3 Days of Delivery: Ages 21 to 44</t>
        </is>
      </c>
      <c r="G15" t="inlineStr">
        <is>
          <t>Higher values are better</t>
        </is>
      </c>
      <c r="H15" t="inlineStr">
        <is>
          <t>Mathematica analysis of the Quality Measure Reporting (QMR) system reports for the FFY 2022 reporting cycle as of June 1, 2023.</t>
        </is>
      </c>
      <c r="I15"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5" s="4" t="n">
        <v>0.112</v>
      </c>
      <c r="K15" s="4" t="n">
        <v>0.117</v>
      </c>
      <c r="L15" s="4" t="n">
        <v>0.271</v>
      </c>
      <c r="M15" s="4" t="n">
        <v>0.056</v>
      </c>
      <c r="N15" s="4" t="n">
        <v>0.08699999999999999</v>
      </c>
      <c r="O15" s="4" t="n">
        <v>0.136</v>
      </c>
    </row>
    <row r="16">
      <c r="A16" t="inlineStr">
        <is>
          <t>Most or Moderately Effective Contraceptive</t>
        </is>
      </c>
      <c r="B16" t="inlineStr">
        <is>
          <t>3-Days Postpartum</t>
        </is>
      </c>
      <c r="C16" t="n">
        <v>2023</v>
      </c>
      <c r="D16" t="inlineStr">
        <is>
          <t>Medicaid</t>
        </is>
      </c>
      <c r="E16" t="inlineStr">
        <is>
          <t>Administrative</t>
        </is>
      </c>
      <c r="F16" t="inlineStr">
        <is>
          <t>Percentage of Postpartum Women with a Live Birth Provided a Most Effective or Moderately Effective Method of Contraception Within 3 Days of Delivery: Ages 21 to 44</t>
        </is>
      </c>
      <c r="G16" t="inlineStr">
        <is>
          <t>Higher values are better</t>
        </is>
      </c>
      <c r="H16" t="inlineStr">
        <is>
          <t>Mathematica analysis of the Quality Measure Reporting (QMR) system reports for the 2023 Core Set as of May 16, 2024.</t>
        </is>
      </c>
      <c r="I16"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6" s="4" t="n">
        <v>0.111</v>
      </c>
      <c r="K16" s="4" t="n">
        <v>0.111</v>
      </c>
      <c r="L16" s="4" t="n">
        <v>0.227</v>
      </c>
      <c r="M16" s="4" t="n">
        <v>0.051</v>
      </c>
      <c r="N16" s="4" t="n">
        <v>0.092</v>
      </c>
      <c r="O16" s="4" t="n">
        <v>0.125</v>
      </c>
    </row>
    <row r="17">
      <c r="A17" t="inlineStr">
        <is>
          <t>Most or Moderately Effective Contraceptive</t>
        </is>
      </c>
      <c r="B17" t="inlineStr">
        <is>
          <t>3-Days Postpartum</t>
        </is>
      </c>
      <c r="C17" t="n">
        <v>2024</v>
      </c>
      <c r="D17" t="inlineStr">
        <is>
          <t>Medicaid (Title XIX), Title XXI-funded Medicaid Expansion CHIP</t>
        </is>
      </c>
      <c r="E17" t="inlineStr">
        <is>
          <t>Administrative</t>
        </is>
      </c>
      <c r="F17" t="inlineStr">
        <is>
          <t>Percentage of Postpartum Women with a Live Birth Provided a Most Effective or Moderately Effective Method of Contraception Within 3 Days of Delivery: Ages 21 to 44</t>
        </is>
      </c>
      <c r="G17" t="inlineStr">
        <is>
          <t>Higher values are better</t>
        </is>
      </c>
      <c r="H17" t="inlineStr">
        <is>
          <t>Mathematica analysis of the Quality Measure Reporting (QMR) system reports for the 2024 Core Set as of April 28, 2025.</t>
        </is>
      </c>
      <c r="I17"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7" s="4" t="n">
        <v>0.117</v>
      </c>
      <c r="K17" s="4" t="n">
        <v>0.115</v>
      </c>
      <c r="L17" s="4" t="n">
        <v>0.165</v>
      </c>
      <c r="M17" s="4" t="n">
        <v>0.015</v>
      </c>
      <c r="N17" s="4" t="n">
        <v>0.091</v>
      </c>
      <c r="O17" s="4" t="n">
        <v>0.123</v>
      </c>
    </row>
    <row r="18">
      <c r="A18" t="inlineStr">
        <is>
          <t>Most or Moderately Effective Contraceptive</t>
        </is>
      </c>
      <c r="B18" t="inlineStr">
        <is>
          <t>60-Days Postpartum</t>
        </is>
      </c>
      <c r="C18" t="n">
        <v>2021</v>
      </c>
      <c r="D18" t="inlineStr">
        <is>
          <t>Medicaid</t>
        </is>
      </c>
      <c r="E18" t="inlineStr">
        <is>
          <t>Administrative</t>
        </is>
      </c>
      <c r="F18" t="inlineStr">
        <is>
          <t>Percentage of Postpartum Women with a Live Birth Provided a Most Effective or Moderately Effective Method of Contraception Within 60 Days of Delivery: Ages 21 to 44</t>
        </is>
      </c>
      <c r="G18" t="inlineStr">
        <is>
          <t>Higher values are better</t>
        </is>
      </c>
      <c r="H18" t="inlineStr">
        <is>
          <t>Mathematica analysis of the Quality Measure Reporting (QMR) system reports for the FFY 2021 reporting cycle as of June 1, 2023.</t>
        </is>
      </c>
      <c r="I18"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8" s="4" t="n">
        <v>0.427</v>
      </c>
      <c r="K18" s="4" t="n">
        <v>0.421</v>
      </c>
      <c r="L18" s="4" t="n">
        <v>0.493</v>
      </c>
      <c r="M18" s="4" t="n">
        <v>0.221</v>
      </c>
      <c r="N18" s="4" t="n">
        <v>0.348</v>
      </c>
      <c r="O18" s="4" t="n">
        <v>0.437</v>
      </c>
    </row>
    <row r="19">
      <c r="A19" t="inlineStr">
        <is>
          <t>Most or Moderately Effective Contraceptive</t>
        </is>
      </c>
      <c r="B19" t="inlineStr">
        <is>
          <t>60-Days Postpartum</t>
        </is>
      </c>
      <c r="C19" t="n">
        <v>2022</v>
      </c>
      <c r="D19" t="inlineStr">
        <is>
          <t>Medicaid</t>
        </is>
      </c>
      <c r="E19" t="inlineStr">
        <is>
          <t>Administrative</t>
        </is>
      </c>
      <c r="F19" t="inlineStr">
        <is>
          <t>Percentage of Postpartum Women with a Live Birth Provided a Most Effective or Moderately Effective Method of Contraception Within 60 Days of Delivery: Ages 21 to 44</t>
        </is>
      </c>
      <c r="G19" t="inlineStr">
        <is>
          <t>Higher values are better</t>
        </is>
      </c>
      <c r="H19" t="inlineStr">
        <is>
          <t>Mathematica analysis of the Quality Measure Reporting (QMR) system reports for the FFY 2022 reporting cycle as of June 1, 2023.</t>
        </is>
      </c>
      <c r="I19"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9" s="4" t="n">
        <v>0.387</v>
      </c>
      <c r="K19" s="4" t="n">
        <v>0.386</v>
      </c>
      <c r="L19" s="4" t="n">
        <v>0.482</v>
      </c>
      <c r="M19" s="4" t="n">
        <v>0.224</v>
      </c>
      <c r="N19" s="4" t="n">
        <v>0.341</v>
      </c>
      <c r="O19" s="4" t="n">
        <v>0.413</v>
      </c>
    </row>
    <row r="20">
      <c r="A20" t="inlineStr">
        <is>
          <t>Most or Moderately Effective Contraceptive</t>
        </is>
      </c>
      <c r="B20" t="inlineStr">
        <is>
          <t>90-Days Postpartum</t>
        </is>
      </c>
      <c r="C20" t="n">
        <v>2023</v>
      </c>
      <c r="D20" t="inlineStr">
        <is>
          <t>Medicaid</t>
        </is>
      </c>
      <c r="E20" t="inlineStr">
        <is>
          <t>Administrative</t>
        </is>
      </c>
      <c r="F20" t="inlineStr">
        <is>
          <t>Percentage of Postpartum Women with a Live Birth Provided a Most Effective or Moderately Effective Method of Contraception Within 90 Days of Delivery: Ages 21 to 44</t>
        </is>
      </c>
      <c r="G20" t="inlineStr">
        <is>
          <t>Higher values are better</t>
        </is>
      </c>
      <c r="H20" t="inlineStr">
        <is>
          <t>Mathematica analysis of the Quality Measure Reporting (QMR) system reports for the 2023 Core Set as of May 16, 2024.</t>
        </is>
      </c>
      <c r="I20"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0" s="4" t="n">
        <v>0.435</v>
      </c>
      <c r="K20" s="4" t="n">
        <v>0.428</v>
      </c>
      <c r="L20" s="4" t="n">
        <v>0.546</v>
      </c>
      <c r="M20" s="4" t="n">
        <v>0.259</v>
      </c>
      <c r="N20" s="4" t="n">
        <v>0.387</v>
      </c>
      <c r="O20" s="4" t="n">
        <v>0.465</v>
      </c>
    </row>
    <row r="21">
      <c r="A21" t="inlineStr">
        <is>
          <t>Most or Moderately Effective Contraceptive</t>
        </is>
      </c>
      <c r="B21" t="inlineStr">
        <is>
          <t>90-Days Postpartum</t>
        </is>
      </c>
      <c r="C21" t="n">
        <v>2024</v>
      </c>
      <c r="D21" t="inlineStr">
        <is>
          <t>Medicaid (Title XIX), Title XXI-funded Medicaid Expansion CHIP</t>
        </is>
      </c>
      <c r="E21" t="inlineStr">
        <is>
          <t>Administrative</t>
        </is>
      </c>
      <c r="F21" t="inlineStr">
        <is>
          <t>Percentage of Postpartum Women with a Live Birth Provided a Most Effective or Moderately Effective Method of Contraception Within 90 Days of Delivery: Ages 21 to 44</t>
        </is>
      </c>
      <c r="G21" t="inlineStr">
        <is>
          <t>Higher values are better</t>
        </is>
      </c>
      <c r="H21" t="inlineStr">
        <is>
          <t>Mathematica analysis of the Quality Measure Reporting (QMR) system reports for the 2024 Core Set as of April 28, 2025.</t>
        </is>
      </c>
      <c r="I21"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1" s="4" t="n">
        <v>0.433</v>
      </c>
      <c r="K21" s="4" t="n">
        <v>0.428</v>
      </c>
      <c r="L21" s="4" t="n">
        <v>0.54</v>
      </c>
      <c r="M21" s="4" t="n">
        <v>0.291</v>
      </c>
      <c r="N21" s="4" t="n">
        <v>0.391</v>
      </c>
      <c r="O21" s="4" t="n">
        <v>0.456</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60" customWidth="1" min="2" max="2"/>
    <col width="13"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Controlling High Blood Pressure: Ages 18 to 85 (CBP-AD)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Hybrid</t>
        </is>
      </c>
      <c r="D4" t="inlineStr">
        <is>
          <t>Percentage who had a Diagnosis of Hypertension and Whose Blood Pressure was Adequately Controlled: Ages 18 to 64</t>
        </is>
      </c>
      <c r="E4" t="inlineStr">
        <is>
          <t>Higher values are better</t>
        </is>
      </c>
      <c r="F4" t="inlineStr">
        <is>
          <t>Mathematica analysis of the Quality Measure Reporting (QMR) system reports for the FFY 2021 reporting cycle as of June 1, 2023.</t>
        </is>
      </c>
      <c r="G4" t="inlineStr">
        <is>
          <t>State-specific comments: Rate includes managed care population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 was audited or validated.</t>
        </is>
      </c>
      <c r="H4" s="4" t="n">
        <v>0.518</v>
      </c>
      <c r="I4" s="4" t="n">
        <v>0.5580000000000001</v>
      </c>
      <c r="J4" s="4" t="n">
        <v>0.705</v>
      </c>
      <c r="K4" s="4" t="n">
        <v>0.127</v>
      </c>
      <c r="L4" s="4" t="n">
        <v>0.483</v>
      </c>
      <c r="M4" s="4" t="n">
        <v>0.599</v>
      </c>
    </row>
    <row r="5">
      <c r="A5" t="n">
        <v>2022</v>
      </c>
      <c r="B5" t="inlineStr">
        <is>
          <t>Medicaid</t>
        </is>
      </c>
      <c r="C5" t="inlineStr">
        <is>
          <t>Hybrid</t>
        </is>
      </c>
      <c r="D5" t="inlineStr">
        <is>
          <t>Percentage who had a Diagnosis of Hypertension and Whose Blood Pressure was Adequately Controlled: Ages 18 to 64</t>
        </is>
      </c>
      <c r="E5" t="inlineStr">
        <is>
          <t>Higher values are better</t>
        </is>
      </c>
      <c r="F5" t="inlineStr">
        <is>
          <t>Mathematica analysis of the Quality Measure Reporting (QMR) system reports for the FFY 2022 reporting cycle as of June 1, 2023.</t>
        </is>
      </c>
      <c r="G5" t="inlineStr">
        <is>
          <t>State-specific comments: Rate includes managed care population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 was audited or validated.</t>
        </is>
      </c>
      <c r="H5" s="4" t="n">
        <v>0.533</v>
      </c>
      <c r="I5" s="4" t="n">
        <v>0.577</v>
      </c>
      <c r="J5" s="4" t="n">
        <v>0.704</v>
      </c>
      <c r="K5" s="4" t="n">
        <v>0.153</v>
      </c>
      <c r="L5" s="4" t="n">
        <v>0.521</v>
      </c>
      <c r="M5" s="4" t="n">
        <v>0.621</v>
      </c>
    </row>
    <row r="6">
      <c r="A6" t="n">
        <v>2023</v>
      </c>
      <c r="B6" t="inlineStr">
        <is>
          <t>Medicaid</t>
        </is>
      </c>
      <c r="C6" t="inlineStr">
        <is>
          <t>Hybrid</t>
        </is>
      </c>
      <c r="D6" t="inlineStr">
        <is>
          <t>Percentage who had a Diagnosis of Hypertension and Whose Blood Pressure was Adequately Controlled: Ages 18 to 64</t>
        </is>
      </c>
      <c r="E6" t="inlineStr">
        <is>
          <t>Higher values are better</t>
        </is>
      </c>
      <c r="F6" t="inlineStr">
        <is>
          <t>Mathematica analysis of the Quality Measure Reporting (QMR) system reports for the 2023 Core Set as of May 16, 2024.</t>
        </is>
      </c>
      <c r="G6" t="inlineStr">
        <is>
          <t>State-specific comments: Rate includes managed care population (16 MCOs). State reported that the rate excludes the following populations: "State of Texas Access Reform (STAR) Health, STAR Kids, and FFS, which make up only a small portion of the overall eligible population."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96,481. Rate was audited or validated.</t>
        </is>
      </c>
      <c r="H6" s="4" t="n">
        <v>0.552</v>
      </c>
      <c r="I6" s="4" t="n">
        <v>0.612</v>
      </c>
      <c r="J6" s="4" t="n">
        <v>0.738</v>
      </c>
      <c r="K6" s="4" t="n">
        <v>0.032</v>
      </c>
      <c r="L6" s="4" t="n">
        <v>0.547</v>
      </c>
      <c r="M6" s="4" t="n">
        <v>0.652</v>
      </c>
    </row>
    <row r="7">
      <c r="A7" t="n">
        <v>2024</v>
      </c>
      <c r="B7" t="inlineStr">
        <is>
          <t>Medicaid (Title XIX), Title XXI-funded Medicaid Expansion CHIP</t>
        </is>
      </c>
      <c r="C7" t="inlineStr">
        <is>
          <t>Hybrid</t>
        </is>
      </c>
      <c r="D7" t="inlineStr">
        <is>
          <t>Percentage who had a Diagnosis of Hypertension and Whose Blood Pressure was Adequately Controlled: Ages 18 to 64</t>
        </is>
      </c>
      <c r="E7" t="inlineStr">
        <is>
          <t>Higher values are better</t>
        </is>
      </c>
      <c r="F7" t="inlineStr">
        <is>
          <t>Mathematica analysis of the Quality Measure Reporting (QMR) system reports for the 2024 Core Set as of April 28, 2025.</t>
        </is>
      </c>
      <c r="G7"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s="4" t="n">
        <v>0.597</v>
      </c>
      <c r="I7" s="4" t="n">
        <v>0.605</v>
      </c>
      <c r="J7" s="4" t="n">
        <v>0.85</v>
      </c>
      <c r="K7" s="4" t="n">
        <v>0.05</v>
      </c>
      <c r="L7" s="4" t="n">
        <v>0.48</v>
      </c>
      <c r="M7" s="4" t="n">
        <v>0.666</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Developmental Screening in the First Three Years of Life: Ages 0 to 3 (DEV-CH)</t>
        </is>
      </c>
    </row>
    <row r="2">
      <c r="A2" t="inlineStr">
        <is>
          <t>Due to data source or specification changes, comparisons should only be made within the following Core Set Years: 2021-2023. See measure information tab for more information.</t>
        </is>
      </c>
      <c r="B2" t="inlineStr"/>
    </row>
    <row r="3"/>
    <row r="4">
      <c r="A4" s="1" t="inlineStr">
        <is>
          <t>Data Period</t>
        </is>
      </c>
      <c r="B4" s="1" t="inlineStr">
        <is>
          <t>Population</t>
        </is>
      </c>
      <c r="C4" s="1" t="inlineStr">
        <is>
          <t>Methodology</t>
        </is>
      </c>
      <c r="D4" s="1" t="inlineStr">
        <is>
          <t>Value Type</t>
        </is>
      </c>
      <c r="E4" s="1" t="inlineStr">
        <is>
          <t>Value Directionality</t>
        </is>
      </c>
      <c r="F4" s="1" t="inlineStr">
        <is>
          <t>Analysis Source</t>
        </is>
      </c>
      <c r="G4" s="1" t="inlineStr">
        <is>
          <t>Notes</t>
        </is>
      </c>
      <c r="H4" s="1" t="inlineStr">
        <is>
          <t>Value</t>
        </is>
      </c>
      <c r="I4" s="1" t="inlineStr">
        <is>
          <t>Median</t>
        </is>
      </c>
      <c r="J4" s="1" t="inlineStr">
        <is>
          <t>Maximum</t>
        </is>
      </c>
      <c r="K4" s="1" t="inlineStr">
        <is>
          <t>Minimum</t>
        </is>
      </c>
      <c r="L4" s="1" t="inlineStr">
        <is>
          <t>First quartile</t>
        </is>
      </c>
      <c r="M4" s="1" t="inlineStr">
        <is>
          <t>Third quartile</t>
        </is>
      </c>
    </row>
    <row r="5">
      <c r="A5" t="n">
        <v>2021</v>
      </c>
      <c r="B5" t="inlineStr">
        <is>
          <t>Medicaid only</t>
        </is>
      </c>
      <c r="C5" t="inlineStr">
        <is>
          <t>Administrative</t>
        </is>
      </c>
      <c r="D5" t="inlineStr">
        <is>
          <t>Percentage Screened for Risk of Developmental, Behavioral, and Social Delays Using a Standardized Screening Tool: Ages 0 to 3</t>
        </is>
      </c>
      <c r="E5" t="inlineStr">
        <is>
          <t>Higher values are better</t>
        </is>
      </c>
      <c r="F5" t="inlineStr">
        <is>
          <t>Mathematica analysis of the Quality Measure Reporting (QMR) system reports for the FFY 2021 reporting cycle as of June 1, 2023.</t>
        </is>
      </c>
      <c r="G5"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4" t="n">
        <v>0.47</v>
      </c>
      <c r="I5" s="4" t="n">
        <v>0.335</v>
      </c>
      <c r="J5" s="4" t="n">
        <v>0.761</v>
      </c>
      <c r="K5" s="4" t="n">
        <v>0.04</v>
      </c>
      <c r="L5" s="4" t="n">
        <v>0.242</v>
      </c>
      <c r="M5" s="4" t="n">
        <v>0.547</v>
      </c>
    </row>
    <row r="6">
      <c r="A6" t="n">
        <v>2021</v>
      </c>
      <c r="B6" t="inlineStr">
        <is>
          <t>CHIP only</t>
        </is>
      </c>
      <c r="C6" t="inlineStr">
        <is>
          <t>Administrative</t>
        </is>
      </c>
      <c r="D6" t="inlineStr">
        <is>
          <t>Percentage Screened for Risk of Developmental, Behavioral, and Social Delays Using a Standardized Screening Tool: Ages 0 to 3</t>
        </is>
      </c>
      <c r="E6" t="inlineStr">
        <is>
          <t>Higher values are better</t>
        </is>
      </c>
      <c r="F6" t="inlineStr">
        <is>
          <t>Mathematica analysis of the Quality Measure Reporting (QMR) system reports for the FFY 2021 reporting cycle as of June 1, 2023.</t>
        </is>
      </c>
      <c r="G6"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4" t="n">
        <v>0.515</v>
      </c>
      <c r="I6" s="4" t="n">
        <v>0.335</v>
      </c>
      <c r="J6" s="4" t="n">
        <v>0.761</v>
      </c>
      <c r="K6" s="4" t="n">
        <v>0.04</v>
      </c>
      <c r="L6" s="4" t="n">
        <v>0.242</v>
      </c>
      <c r="M6" s="4" t="n">
        <v>0.547</v>
      </c>
    </row>
    <row r="7">
      <c r="A7" t="n">
        <v>2022</v>
      </c>
      <c r="B7" t="inlineStr">
        <is>
          <t>Medicaid only</t>
        </is>
      </c>
      <c r="C7" t="inlineStr">
        <is>
          <t>Administrative</t>
        </is>
      </c>
      <c r="D7" t="inlineStr">
        <is>
          <t>Percentage Screened for Risk of Developmental, Behavioral, and Social Delays Using a Standardized Screening Tool: Ages 0 to 3</t>
        </is>
      </c>
      <c r="E7" t="inlineStr">
        <is>
          <t>Higher values are better</t>
        </is>
      </c>
      <c r="F7" t="inlineStr">
        <is>
          <t>Mathematica analysis of the Quality Measure Reporting (QMR) system reports for the FFY 2022 reporting cycle as of June 1, 2023.</t>
        </is>
      </c>
      <c r="G7"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s="4" t="n">
        <v>0.464</v>
      </c>
      <c r="I7" s="4" t="n">
        <v>0.347</v>
      </c>
      <c r="J7" s="4" t="n">
        <v>0.825</v>
      </c>
      <c r="K7" s="4" t="n">
        <v>0.035</v>
      </c>
      <c r="L7" s="4" t="n">
        <v>0.273</v>
      </c>
      <c r="M7" s="4" t="n">
        <v>0.516</v>
      </c>
    </row>
    <row r="8">
      <c r="A8" t="n">
        <v>2022</v>
      </c>
      <c r="B8" t="inlineStr">
        <is>
          <t>CHIP only</t>
        </is>
      </c>
      <c r="C8" t="inlineStr">
        <is>
          <t>Administrative</t>
        </is>
      </c>
      <c r="D8" t="inlineStr">
        <is>
          <t>Percentage Screened for Risk of Developmental, Behavioral, and Social Delays Using a Standardized Screening Tool: Ages 0 to 3</t>
        </is>
      </c>
      <c r="E8" t="inlineStr">
        <is>
          <t>Higher values are better</t>
        </is>
      </c>
      <c r="F8" t="inlineStr">
        <is>
          <t>Mathematica analysis of the Quality Measure Reporting (QMR) system reports for the FFY 2022 reporting cycle as of June 1, 2023.</t>
        </is>
      </c>
      <c r="G8"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8" s="4" t="n">
        <v>0.477</v>
      </c>
      <c r="I8" s="4" t="n">
        <v>0.347</v>
      </c>
      <c r="J8" s="4" t="n">
        <v>0.825</v>
      </c>
      <c r="K8" s="4" t="n">
        <v>0.035</v>
      </c>
      <c r="L8" s="4" t="n">
        <v>0.273</v>
      </c>
      <c r="M8" s="4" t="n">
        <v>0.516</v>
      </c>
    </row>
    <row r="9">
      <c r="A9" t="n">
        <v>2023</v>
      </c>
      <c r="B9" t="inlineStr">
        <is>
          <t>Medicaid only</t>
        </is>
      </c>
      <c r="C9" t="inlineStr">
        <is>
          <t>Administrative</t>
        </is>
      </c>
      <c r="D9" t="inlineStr">
        <is>
          <t>Percentage Screened for Risk of Developmental, Behavioral, and Social Delays Using a Standardized Screening Tool: Ages 0 to 3</t>
        </is>
      </c>
      <c r="E9" t="inlineStr">
        <is>
          <t>Higher values are better</t>
        </is>
      </c>
      <c r="F9" t="inlineStr">
        <is>
          <t>Mathematica analysis of the Quality Measure Reporting (QMR) system reports for the 2023 Core Set as of May 16, 2024.</t>
        </is>
      </c>
      <c r="G9"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9" s="4" t="n">
        <v>0.453</v>
      </c>
      <c r="I9" s="4" t="n">
        <v>0.357</v>
      </c>
      <c r="J9" s="4" t="n">
        <v>0.747</v>
      </c>
      <c r="K9" s="4" t="n">
        <v>0.04</v>
      </c>
      <c r="L9" s="4" t="n">
        <v>0.259</v>
      </c>
      <c r="M9" s="4" t="n">
        <v>0.529</v>
      </c>
    </row>
    <row r="10">
      <c r="A10" t="n">
        <v>2023</v>
      </c>
      <c r="B10" t="inlineStr">
        <is>
          <t>CHIP only</t>
        </is>
      </c>
      <c r="C10" t="inlineStr">
        <is>
          <t>Administrative</t>
        </is>
      </c>
      <c r="D10" t="inlineStr">
        <is>
          <t>Percentage Screened for Risk of Developmental, Behavioral, and Social Delays Using a Standardized Screening Tool: Ages 0 to 3</t>
        </is>
      </c>
      <c r="E10" t="inlineStr">
        <is>
          <t>Higher values are better</t>
        </is>
      </c>
      <c r="F10" t="inlineStr">
        <is>
          <t>Mathematica analysis of the Quality Measure Reporting (QMR) system reports for the 2023 Core Set as of May 16, 2024.</t>
        </is>
      </c>
      <c r="G10"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10" s="4" t="n">
        <v>0.485</v>
      </c>
      <c r="I10" s="4" t="n">
        <v>0.357</v>
      </c>
      <c r="J10" s="4" t="n">
        <v>0.747</v>
      </c>
      <c r="K10" s="4" t="n">
        <v>0.04</v>
      </c>
      <c r="L10" s="4" t="n">
        <v>0.259</v>
      </c>
      <c r="M10" s="4" t="n">
        <v>0.529</v>
      </c>
    </row>
    <row r="11">
      <c r="A11" t="n">
        <v>2024</v>
      </c>
      <c r="B11" t="inlineStr">
        <is>
          <t>Medicaid (Title XIX), Title XXI-funded Medicaid Expansion CHIP, Separate CHIP (Title XXI)</t>
        </is>
      </c>
      <c r="C11" t="inlineStr">
        <is>
          <t>Administrative</t>
        </is>
      </c>
      <c r="D11" t="inlineStr">
        <is>
          <t>Percentage Screened for Risk of Developmental, Behavioral, and Social Delays Using a Standardized Screening Tool: Ages 0 to 3</t>
        </is>
      </c>
      <c r="E11" t="inlineStr">
        <is>
          <t>Higher values are better</t>
        </is>
      </c>
      <c r="F11" t="inlineStr">
        <is>
          <t>Mathematica analysis of the Quality Measure Reporting (QMR) system reports for the 2024 Core Set as of April 28, 2025.</t>
        </is>
      </c>
      <c r="G11" t="inlineStr">
        <is>
          <t>State-specific comments: Rate combines the Medicaid and separate CHIP data reported by the state in the QMR system. See Medicaid and separate CHIP state-specific comments for information about the data reported for each population.</t>
        </is>
      </c>
      <c r="H11" s="4" t="n">
        <v>0.47</v>
      </c>
      <c r="I11" s="4" t="n">
        <v>0.374</v>
      </c>
      <c r="J11" s="4" t="n">
        <v>0.759</v>
      </c>
      <c r="K11" s="4" t="n">
        <v>0.042</v>
      </c>
      <c r="L11" s="4" t="n">
        <v>0.27</v>
      </c>
      <c r="M11" s="4" t="n">
        <v>0.52</v>
      </c>
    </row>
    <row r="12">
      <c r="A12" t="n">
        <v>2024</v>
      </c>
      <c r="B12" t="inlineStr">
        <is>
          <t>Medicaid (Title XIX), Title XXI-funded Medicaid Expansion CHIP</t>
        </is>
      </c>
      <c r="C12" t="inlineStr">
        <is>
          <t>Administrative</t>
        </is>
      </c>
      <c r="D12" t="inlineStr">
        <is>
          <t>Percentage Screened for Risk of Developmental, Behavioral, and Social Delays Using a Standardized Screening Tool: Ages 0 to 3</t>
        </is>
      </c>
      <c r="E12" t="inlineStr">
        <is>
          <t>Higher values are better</t>
        </is>
      </c>
      <c r="F12" t="inlineStr">
        <is>
          <t>Mathematica analysis of the Quality Measure Reporting (QMR) system reports for the 2024 Core Set as of April 28, 2025.</t>
        </is>
      </c>
      <c r="G12"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12" s="4" t="n">
        <v>0.47</v>
      </c>
      <c r="I12" s="4" t="n">
        <v>0.374</v>
      </c>
      <c r="J12" s="4" t="n">
        <v>0.759</v>
      </c>
      <c r="K12" s="4" t="n">
        <v>0.042</v>
      </c>
      <c r="L12" s="4" t="n">
        <v>0.27</v>
      </c>
      <c r="M12" s="4" t="n">
        <v>0.52</v>
      </c>
    </row>
    <row r="13">
      <c r="A13" t="n">
        <v>2024</v>
      </c>
      <c r="B13" t="inlineStr">
        <is>
          <t>Separate CHIP (Title XXI)</t>
        </is>
      </c>
      <c r="C13" t="inlineStr">
        <is>
          <t>Administrative</t>
        </is>
      </c>
      <c r="D13" t="inlineStr">
        <is>
          <t>Percentage Screened for Risk of Developmental, Behavioral, and Social Delays Using a Standardized Screening Tool: Ages 0 to 3</t>
        </is>
      </c>
      <c r="E13" t="inlineStr">
        <is>
          <t>Higher values are better</t>
        </is>
      </c>
      <c r="F13" t="inlineStr">
        <is>
          <t>Mathematica analysis of the Quality Measure Reporting (QMR) system reports for the 2024 Core Set as of April 28, 2025.</t>
        </is>
      </c>
      <c r="G13" t="inlineStr">
        <is>
          <t>State-specific comments: Separate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13" s="4" t="n">
        <v>0.48</v>
      </c>
      <c r="I13" s="4" t="n">
        <v>0.374</v>
      </c>
      <c r="J13" s="4" t="n">
        <v>0.759</v>
      </c>
      <c r="K13" s="4" t="n">
        <v>0.042</v>
      </c>
      <c r="L13" s="4" t="n">
        <v>0.27</v>
      </c>
      <c r="M13" s="4" t="n">
        <v>0.52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1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Diabetes Screening for People with Schizophrenia or Bipolar Disorder Who Are Using Antipsychotic Medications: Ages 18 to 64 (SSD-AD)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with Schizophrenia, Schizoaffective Disorder, or Bipolar Disorder who were Dispensed an Antipsychotic Medication and had a Diabetes Screening Test: Ages 18 to 64</t>
        </is>
      </c>
      <c r="E4" t="inlineStr">
        <is>
          <t>Higher values are better</t>
        </is>
      </c>
      <c r="F4" t="inlineStr">
        <is>
          <t>Mathematica analysis of the Quality Measure Reporting (QMR) system reports for the FFY 2021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4" t="n">
        <v>0.765</v>
      </c>
      <c r="I4" s="4" t="n">
        <v>0.748</v>
      </c>
      <c r="J4" s="4" t="n">
        <v>0.856</v>
      </c>
      <c r="K4" s="4" t="n">
        <v>0.655</v>
      </c>
      <c r="L4" s="4" t="n">
        <v>0.722</v>
      </c>
      <c r="M4" s="4" t="n">
        <v>0.765</v>
      </c>
    </row>
    <row r="5">
      <c r="A5" t="n">
        <v>2022</v>
      </c>
      <c r="B5" t="inlineStr">
        <is>
          <t>Medicaid</t>
        </is>
      </c>
      <c r="C5" t="inlineStr">
        <is>
          <t>Administrative</t>
        </is>
      </c>
      <c r="D5" t="inlineStr">
        <is>
          <t>Percentage with Schizophrenia, Schizoaffective Disorder, or Bipolar Disorder who were Dispensed an Antipsychotic Medication and had a Diabetes Screening Test: Ages 18 to 64</t>
        </is>
      </c>
      <c r="E5" t="inlineStr">
        <is>
          <t>Higher values are better</t>
        </is>
      </c>
      <c r="F5" t="inlineStr">
        <is>
          <t>Mathematica analysis of the Quality Measure Reporting (QMR) system reports for the FFY 2022 reporting cycle as of June 1, 2023.</t>
        </is>
      </c>
      <c r="G5"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4" t="n">
        <v>0.787</v>
      </c>
      <c r="I5" s="4" t="n">
        <v>0.771</v>
      </c>
      <c r="J5" s="4" t="n">
        <v>0.869</v>
      </c>
      <c r="K5" s="4" t="n">
        <v>0.614</v>
      </c>
      <c r="L5" s="4" t="n">
        <v>0.742</v>
      </c>
      <c r="M5" s="4" t="n">
        <v>0.785</v>
      </c>
    </row>
    <row r="6">
      <c r="A6" t="n">
        <v>2023</v>
      </c>
      <c r="B6" t="inlineStr">
        <is>
          <t>Medicaid</t>
        </is>
      </c>
      <c r="C6" t="inlineStr">
        <is>
          <t>Administrative</t>
        </is>
      </c>
      <c r="D6" t="inlineStr">
        <is>
          <t>Percentage with Schizophrenia, Schizoaffective Disorder, or Bipolar Disorder who were Dispensed an Antipsychotic Medication and had a Diabetes Screening Test: Ages 18 to 64</t>
        </is>
      </c>
      <c r="E6" t="inlineStr">
        <is>
          <t>Higher values are better</t>
        </is>
      </c>
      <c r="F6" t="inlineStr">
        <is>
          <t>Mathematica analysis of the Quality Measure Reporting (QMR) system reports for the 2023 Core Set as of May 16, 2024.</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4" t="n">
        <v>0.798</v>
      </c>
      <c r="I6" s="4" t="n">
        <v>0.771</v>
      </c>
      <c r="J6" s="4" t="n">
        <v>0.86</v>
      </c>
      <c r="K6" s="4" t="n">
        <v>0.636</v>
      </c>
      <c r="L6" s="4" t="n">
        <v>0.748</v>
      </c>
      <c r="M6" s="4" t="n">
        <v>0.797</v>
      </c>
    </row>
    <row r="7">
      <c r="A7" t="n">
        <v>2024</v>
      </c>
      <c r="B7" t="inlineStr">
        <is>
          <t>Medicaid (Title XIX), Title XXI-funded Medicaid Expansion CHIP, Separate CHIP (Title XXI)</t>
        </is>
      </c>
      <c r="C7" t="inlineStr">
        <is>
          <t>Administrative</t>
        </is>
      </c>
      <c r="D7" t="inlineStr">
        <is>
          <t>Percentage with Schizophrenia, Schizoaffective Disorder, or Bipolar Disorder who were Dispensed an Antipsychotic Medication and had a Diabetes Screening Test: Ages 18 to 64</t>
        </is>
      </c>
      <c r="E7" t="inlineStr">
        <is>
          <t>Higher values are better</t>
        </is>
      </c>
      <c r="F7" t="inlineStr">
        <is>
          <t>Mathematica analysis of the Quality Measure Reporting (QMR) system reports for the 2024 Core Set as of April 28, 2025.</t>
        </is>
      </c>
      <c r="G7" t="inlineStr">
        <is>
          <t>State-specific comments: Rate combines the Medicaid and separate CHIP data reported by the state in the QMR system. See Medicaid and separate CHIP state-specific comments for information about the data reported for each population.</t>
        </is>
      </c>
      <c r="H7" s="4" t="n">
        <v>0.823</v>
      </c>
      <c r="I7" s="4" t="n">
        <v>0.778</v>
      </c>
      <c r="J7" s="4" t="n">
        <v>0.871</v>
      </c>
      <c r="K7" s="4" t="n">
        <v>0.624</v>
      </c>
      <c r="L7" s="4" t="n">
        <v>0.747</v>
      </c>
      <c r="M7" s="4" t="n">
        <v>0.8139999999999999</v>
      </c>
    </row>
    <row r="8">
      <c r="A8" t="n">
        <v>2024</v>
      </c>
      <c r="B8" t="inlineStr">
        <is>
          <t>Medicaid (Title XIX), Title XXI-funded Medicaid Expansion CHIP</t>
        </is>
      </c>
      <c r="C8" t="inlineStr">
        <is>
          <t>Administrative</t>
        </is>
      </c>
      <c r="D8" t="inlineStr">
        <is>
          <t>Percentage with Schizophrenia, Schizoaffective Disorder, or Bipolar Disorder who were Dispensed an Antipsychotic Medication and had a Diabetes Screening Test: Ages 18 to 64</t>
        </is>
      </c>
      <c r="E8" t="inlineStr">
        <is>
          <t>Higher values are better</t>
        </is>
      </c>
      <c r="F8" t="inlineStr">
        <is>
          <t>Mathematica analysis of the Quality Measure Reporting (QMR) system reports for the 2024 Core Set as of April 28, 2025.</t>
        </is>
      </c>
      <c r="G8"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8" s="4" t="n">
        <v>0.823</v>
      </c>
      <c r="I8" s="4" t="n">
        <v>0.778</v>
      </c>
      <c r="J8" s="4" t="n">
        <v>0.871</v>
      </c>
      <c r="K8" s="4" t="n">
        <v>0.624</v>
      </c>
      <c r="L8" s="4" t="n">
        <v>0.747</v>
      </c>
      <c r="M8" s="4" t="n">
        <v>0.8139999999999999</v>
      </c>
    </row>
    <row r="9">
      <c r="A9" t="n">
        <v>2024</v>
      </c>
      <c r="B9" t="inlineStr">
        <is>
          <t>Separate CHIP (Title XXI)</t>
        </is>
      </c>
      <c r="C9" t="inlineStr">
        <is>
          <t>Administrative</t>
        </is>
      </c>
      <c r="D9" t="inlineStr">
        <is>
          <t>Percentage with Schizophrenia, Schizoaffective Disorder, or Bipolar Disorder who were Dispensed an Antipsychotic Medication and had a Diabetes Screening Test: Ages 18 to 64</t>
        </is>
      </c>
      <c r="E9" t="inlineStr">
        <is>
          <t>Higher values are better</t>
        </is>
      </c>
      <c r="F9" t="inlineStr">
        <is>
          <t>Mathematica analysis of the Quality Measure Reporting (QMR) system reports for the 2024 Core Set as of April 28, 2025.</t>
        </is>
      </c>
      <c r="G9" t="inlineStr">
        <is>
          <t>State-specific comments: Separate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9" t="inlineStr">
        <is>
          <t>Data suppressed</t>
        </is>
      </c>
      <c r="I9" s="4" t="n">
        <v>0.778</v>
      </c>
      <c r="J9" s="4" t="n">
        <v>0.871</v>
      </c>
      <c r="K9" s="4" t="n">
        <v>0.624</v>
      </c>
      <c r="L9" s="4" t="n">
        <v>0.747</v>
      </c>
      <c r="M9" s="4" t="n">
        <v>0.8139999999999999</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12" customWidth="1" min="2" max="2"/>
    <col width="13" customWidth="1" min="3" max="3"/>
    <col width="58"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Flu Vaccinations for Adults Ages 18 to 64 (FVA-AD)</t>
        </is>
      </c>
    </row>
    <row r="2">
      <c r="A2" t="inlineStr">
        <is>
          <t>Due to data source or specification changes, comparisons should only be made within the following Core Set Years: 2021-2022. See measure information tab for more information.</t>
        </is>
      </c>
      <c r="B2" t="inlineStr"/>
    </row>
    <row r="3"/>
    <row r="4">
      <c r="A4" s="1" t="inlineStr">
        <is>
          <t>Data Period</t>
        </is>
      </c>
      <c r="B4" s="1" t="inlineStr">
        <is>
          <t>Population</t>
        </is>
      </c>
      <c r="C4" s="1" t="inlineStr">
        <is>
          <t>Methodology</t>
        </is>
      </c>
      <c r="D4" s="1" t="inlineStr">
        <is>
          <t>Value Type</t>
        </is>
      </c>
      <c r="E4" s="1" t="inlineStr">
        <is>
          <t>Value Directionality</t>
        </is>
      </c>
      <c r="F4" s="1" t="inlineStr">
        <is>
          <t>Analysis Source</t>
        </is>
      </c>
      <c r="G4" s="1" t="inlineStr">
        <is>
          <t>Notes</t>
        </is>
      </c>
      <c r="H4" s="1" t="inlineStr">
        <is>
          <t>Value</t>
        </is>
      </c>
      <c r="I4" s="1" t="inlineStr">
        <is>
          <t>Median</t>
        </is>
      </c>
      <c r="J4" s="1" t="inlineStr">
        <is>
          <t>Maximum</t>
        </is>
      </c>
      <c r="K4" s="1" t="inlineStr">
        <is>
          <t>Minimum</t>
        </is>
      </c>
      <c r="L4" s="1" t="inlineStr">
        <is>
          <t>First quartile</t>
        </is>
      </c>
      <c r="M4" s="1" t="inlineStr">
        <is>
          <t>Third quartile</t>
        </is>
      </c>
    </row>
    <row r="5">
      <c r="A5" t="n">
        <v>2021</v>
      </c>
      <c r="B5" t="inlineStr">
        <is>
          <t>Medicaid</t>
        </is>
      </c>
      <c r="C5" t="inlineStr">
        <is>
          <t>CAHPS 5.1H</t>
        </is>
      </c>
      <c r="D5" t="inlineStr">
        <is>
          <t>Percentage who Received a Flu Vaccination: Ages 18 to 64</t>
        </is>
      </c>
      <c r="E5" t="inlineStr">
        <is>
          <t>Higher values are better</t>
        </is>
      </c>
      <c r="F5" t="inlineStr">
        <is>
          <t>Mathematica analysis of the Quality Measure Reporting (QMR) system reports for the FFY 2021 reporting cycle as of June 1, 2023.</t>
        </is>
      </c>
      <c r="G5" t="inlineStr">
        <is>
          <t>State-specific comments: Rate includes managed care population (17 MCOs). Rate was audited or validated.</t>
        </is>
      </c>
      <c r="H5" s="4" t="n">
        <v>0.398</v>
      </c>
      <c r="I5" s="4" t="n">
        <v>0.403</v>
      </c>
      <c r="J5" s="4" t="n">
        <v>0.548</v>
      </c>
      <c r="K5" s="4" t="n">
        <v>0.298</v>
      </c>
      <c r="L5" s="4" t="n">
        <v>0.373</v>
      </c>
      <c r="M5" s="4" t="n">
        <v>0.466</v>
      </c>
    </row>
    <row r="6">
      <c r="A6" t="n">
        <v>2022</v>
      </c>
      <c r="B6" t="inlineStr">
        <is>
          <t>Medicaid</t>
        </is>
      </c>
      <c r="C6" t="inlineStr">
        <is>
          <t>CAHPS 5.1H</t>
        </is>
      </c>
      <c r="D6" t="inlineStr">
        <is>
          <t>Percentage who Received a Flu Vaccination: Ages 18 to 64</t>
        </is>
      </c>
      <c r="E6" t="inlineStr">
        <is>
          <t>Higher values are better</t>
        </is>
      </c>
      <c r="F6" t="inlineStr">
        <is>
          <t>Mathematica analysis of the Quality Measure Reporting (QMR) system reports for the FFY 2022 reporting cycle as of June 1, 2023.</t>
        </is>
      </c>
      <c r="G6" t="inlineStr">
        <is>
          <t>State-specific comments: Rate includes FFS and managed care populations (17 MCOs). Rate was audited or validated.</t>
        </is>
      </c>
      <c r="H6" s="4" t="n">
        <v>0.384</v>
      </c>
      <c r="I6" s="4" t="n">
        <v>0.405</v>
      </c>
      <c r="J6" s="4" t="n">
        <v>0.533</v>
      </c>
      <c r="K6" s="4" t="n">
        <v>0.222</v>
      </c>
      <c r="L6" s="4" t="n">
        <v>0.354</v>
      </c>
      <c r="M6" s="4" t="n">
        <v>0.464</v>
      </c>
    </row>
    <row r="7">
      <c r="A7" t="n">
        <v>2023</v>
      </c>
      <c r="B7" t="inlineStr">
        <is>
          <t>Medicaid</t>
        </is>
      </c>
      <c r="C7" t="inlineStr">
        <is>
          <t>CAHPS 5.1H</t>
        </is>
      </c>
      <c r="D7" t="inlineStr">
        <is>
          <t>Percentage who Received a Flu Vaccination: Ages 18 to 64</t>
        </is>
      </c>
      <c r="E7" t="inlineStr">
        <is>
          <t>Higher values are better</t>
        </is>
      </c>
      <c r="F7" t="inlineStr">
        <is>
          <t>CMS used two data sources for reporting this measure for the 2023 Adult Core Set. The two sources are the AHRQ CAHPS Database for the July 2022 to June 2023 data collection period as of January 24, 2024 and Mathematica analysis of the Quality Measure Reporting (QMR) system reports for the 2023 Core Set as of May 16, 2024. The state-specific comments identify the data source for each state’s rate for the 2023 Core Set.</t>
        </is>
      </c>
      <c r="G7" t="inlineStr">
        <is>
          <t>State-specific comments: Rate was calculated using data from the AHRQ CAHPS Database. Rate includes managed care population (16 MCOs).</t>
        </is>
      </c>
      <c r="H7" s="4" t="n">
        <v>0.41</v>
      </c>
      <c r="I7" s="4" t="n">
        <v>0.393</v>
      </c>
      <c r="J7" s="4" t="n">
        <v>0.527</v>
      </c>
      <c r="K7" s="4" t="n">
        <v>0.251</v>
      </c>
      <c r="L7" s="4" t="n">
        <v>0.354</v>
      </c>
      <c r="M7" s="4" t="n">
        <v>0.435</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18"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Emergency Department Visit for Mental Illness: Ages 6 to 17 (FUM-CH)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30-Day Follow-Up</t>
        </is>
      </c>
      <c r="B4" t="n">
        <v>2022</v>
      </c>
      <c r="C4" t="inlineStr">
        <is>
          <t>Medicaid only</t>
        </is>
      </c>
      <c r="D4" t="inlineStr">
        <is>
          <t>Administrative</t>
        </is>
      </c>
      <c r="E4" t="inlineStr">
        <is>
          <t>Percentage of Emergency Department (ED) Visits for Mental Illness or Intentional Self-Harm with a Follow-Up Visit Within 30 Days of the ED Visit: Ages 6 to 17</t>
        </is>
      </c>
      <c r="F4" t="inlineStr">
        <is>
          <t>Higher values are better</t>
        </is>
      </c>
      <c r="G4" t="inlineStr">
        <is>
          <t>Mathematica analysis of the Quality Measure Reporting (QMR) system reports for the FFY 2022 reporting cycle as of June 1, 2023.</t>
        </is>
      </c>
      <c r="H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0.582</v>
      </c>
      <c r="J4" s="4" t="n">
        <v>0.727</v>
      </c>
      <c r="K4" s="4" t="n">
        <v>0.919</v>
      </c>
      <c r="L4" s="4" t="n">
        <v>0.115</v>
      </c>
      <c r="M4" s="4" t="n">
        <v>0.636</v>
      </c>
      <c r="N4" s="4" t="n">
        <v>0.769</v>
      </c>
    </row>
    <row r="5">
      <c r="A5" t="inlineStr">
        <is>
          <t>30-Day Follow-Up</t>
        </is>
      </c>
      <c r="B5" t="n">
        <v>2022</v>
      </c>
      <c r="C5" t="inlineStr">
        <is>
          <t>CHIP only</t>
        </is>
      </c>
      <c r="D5" t="inlineStr">
        <is>
          <t>Administrative</t>
        </is>
      </c>
      <c r="E5" t="inlineStr">
        <is>
          <t>Percentage of Emergency Department (ED) Visits for Mental Illness or Intentional Self-Harm with a Follow-Up Visit Within 30 Days of the ED Visit: Ages 6 to 17</t>
        </is>
      </c>
      <c r="F5" t="inlineStr">
        <is>
          <t>Higher values are better</t>
        </is>
      </c>
      <c r="G5" t="inlineStr">
        <is>
          <t>Mathematica analysis of the Quality Measure Reporting (QMR) system reports for the FFY 2022 reporting cycle as of June 1, 2023.</t>
        </is>
      </c>
      <c r="H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0.668</v>
      </c>
      <c r="J5" s="4" t="n">
        <v>0.727</v>
      </c>
      <c r="K5" s="4" t="n">
        <v>0.919</v>
      </c>
      <c r="L5" s="4" t="n">
        <v>0.115</v>
      </c>
      <c r="M5" s="4" t="n">
        <v>0.636</v>
      </c>
      <c r="N5" s="4" t="n">
        <v>0.769</v>
      </c>
    </row>
    <row r="6">
      <c r="A6" t="inlineStr">
        <is>
          <t>30-Day Follow-Up</t>
        </is>
      </c>
      <c r="B6" t="n">
        <v>2023</v>
      </c>
      <c r="C6" t="inlineStr">
        <is>
          <t>Medicaid only</t>
        </is>
      </c>
      <c r="D6" t="inlineStr">
        <is>
          <t>Administrative</t>
        </is>
      </c>
      <c r="E6" t="inlineStr">
        <is>
          <t>Percentage of Emergency Department (ED) Visits for Mental Illness or Intentional Self-Harm with a Follow-Up Visit Within 30 Days of the ED Visit: Ages 6 to 17</t>
        </is>
      </c>
      <c r="F6" t="inlineStr">
        <is>
          <t>Higher values are better</t>
        </is>
      </c>
      <c r="G6" t="inlineStr">
        <is>
          <t>Mathematica analysis of the Quality Measure Reporting (QMR) system reports for the 2023 Core Set as of May 16, 2024.</t>
        </is>
      </c>
      <c r="H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0.578</v>
      </c>
      <c r="J6" s="4" t="n">
        <v>0.696</v>
      </c>
      <c r="K6" s="4" t="n">
        <v>0.911</v>
      </c>
      <c r="L6" s="4" t="n">
        <v>0.244</v>
      </c>
      <c r="M6" s="4" t="n">
        <v>0.618</v>
      </c>
      <c r="N6" s="4" t="n">
        <v>0.76</v>
      </c>
    </row>
    <row r="7">
      <c r="A7" t="inlineStr">
        <is>
          <t>30-Day Follow-Up</t>
        </is>
      </c>
      <c r="B7" t="n">
        <v>2023</v>
      </c>
      <c r="C7" t="inlineStr">
        <is>
          <t>CHIP only</t>
        </is>
      </c>
      <c r="D7" t="inlineStr">
        <is>
          <t>Administrative</t>
        </is>
      </c>
      <c r="E7" t="inlineStr">
        <is>
          <t>Percentage of Emergency Department (ED) Visits for Mental Illness or Intentional Self-Harm with a Follow-Up Visit Within 30 Days of the ED Visit: Ages 6 to 17</t>
        </is>
      </c>
      <c r="F7" t="inlineStr">
        <is>
          <t>Higher values are better</t>
        </is>
      </c>
      <c r="G7" t="inlineStr">
        <is>
          <t>Mathematica analysis of the Quality Measure Reporting (QMR) system reports for the 2023 Core Set as of May 16, 2024.</t>
        </is>
      </c>
      <c r="H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0.554</v>
      </c>
      <c r="J7" s="4" t="n">
        <v>0.696</v>
      </c>
      <c r="K7" s="4" t="n">
        <v>0.911</v>
      </c>
      <c r="L7" s="4" t="n">
        <v>0.244</v>
      </c>
      <c r="M7" s="4" t="n">
        <v>0.618</v>
      </c>
      <c r="N7" s="4" t="n">
        <v>0.76</v>
      </c>
    </row>
    <row r="8">
      <c r="A8" t="inlineStr">
        <is>
          <t>30-Day Follow-Up</t>
        </is>
      </c>
      <c r="B8" t="n">
        <v>2024</v>
      </c>
      <c r="C8" t="inlineStr">
        <is>
          <t>Medicaid (Title XIX), Title XXI-funded Medicaid Expansion CHIP, Separate CHIP (Title XXI)</t>
        </is>
      </c>
      <c r="D8" t="inlineStr">
        <is>
          <t>Administrative</t>
        </is>
      </c>
      <c r="E8" t="inlineStr">
        <is>
          <t>Percentage of Emergency Department (ED) Visits for Mental Illness or Intentional Self-Harm with a Follow-Up Visit Within 30 Days of the ED Visit: Ages 6 to 17</t>
        </is>
      </c>
      <c r="F8" t="inlineStr">
        <is>
          <t>Higher values are better</t>
        </is>
      </c>
      <c r="G8" t="inlineStr">
        <is>
          <t>Mathematica analysis of the Quality Measure Reporting (QMR) system reports for the 2024 Core Set as of April 28, 2025.</t>
        </is>
      </c>
      <c r="H8" t="inlineStr">
        <is>
          <t>State-specific comments: Rate combines the Medicaid and separate CHIP data reported by the state in the QMR system. See Medicaid and separate CHIP state-specific comments for information about the data reported for each population.</t>
        </is>
      </c>
      <c r="I8" s="4" t="n">
        <v>0.578</v>
      </c>
      <c r="J8" s="4" t="n">
        <v>0.6929999999999999</v>
      </c>
      <c r="K8" s="4" t="n">
        <v>0.9379999999999999</v>
      </c>
      <c r="L8" s="4" t="n">
        <v>0.475</v>
      </c>
      <c r="M8" s="4" t="n">
        <v>0.639</v>
      </c>
      <c r="N8" s="4" t="n">
        <v>0.754</v>
      </c>
    </row>
    <row r="9">
      <c r="A9" t="inlineStr">
        <is>
          <t>30-Day Follow-Up</t>
        </is>
      </c>
      <c r="B9" t="n">
        <v>2024</v>
      </c>
      <c r="C9" t="inlineStr">
        <is>
          <t>Medicaid (Title XIX), Title XXI-funded Medicaid Expansion CHIP</t>
        </is>
      </c>
      <c r="D9" t="inlineStr">
        <is>
          <t>Administrative</t>
        </is>
      </c>
      <c r="E9" t="inlineStr">
        <is>
          <t>Percentage of Emergency Department (ED) Visits for Mental Illness or Intentional Self-Harm with a Follow-Up Visit Within 30 Days of the ED Visit: Ages 6 to 17</t>
        </is>
      </c>
      <c r="F9" t="inlineStr">
        <is>
          <t>Higher values are better</t>
        </is>
      </c>
      <c r="G9" t="inlineStr">
        <is>
          <t>Mathematica analysis of the Quality Measure Reporting (QMR) system reports for the 2024 Core Set as of April 28, 2025.</t>
        </is>
      </c>
      <c r="H9"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s="4" t="n">
        <v>0.577</v>
      </c>
      <c r="J9" s="4" t="n">
        <v>0.6929999999999999</v>
      </c>
      <c r="K9" s="4" t="n">
        <v>0.9379999999999999</v>
      </c>
      <c r="L9" s="4" t="n">
        <v>0.475</v>
      </c>
      <c r="M9" s="4" t="n">
        <v>0.639</v>
      </c>
      <c r="N9" s="4" t="n">
        <v>0.754</v>
      </c>
    </row>
    <row r="10">
      <c r="A10" t="inlineStr">
        <is>
          <t>30-Day Follow-Up</t>
        </is>
      </c>
      <c r="B10" t="n">
        <v>2024</v>
      </c>
      <c r="C10" t="inlineStr">
        <is>
          <t>Separate CHIP (Title XXI)</t>
        </is>
      </c>
      <c r="D10" t="inlineStr">
        <is>
          <t>Administrative</t>
        </is>
      </c>
      <c r="E10" t="inlineStr">
        <is>
          <t>Percentage of Emergency Department (ED) Visits for Mental Illness or Intentional Self-Harm with a Follow-Up Visit Within 30 Days of the ED Visit: Ages 6 to 17</t>
        </is>
      </c>
      <c r="F10" t="inlineStr">
        <is>
          <t>Higher values are better</t>
        </is>
      </c>
      <c r="G10" t="inlineStr">
        <is>
          <t>Mathematica analysis of the Quality Measure Reporting (QMR) system reports for the 2024 Core Set as of April 28, 2025.</t>
        </is>
      </c>
      <c r="H10"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0" s="4" t="n">
        <v>0.627</v>
      </c>
      <c r="J10" s="4" t="n">
        <v>0.6929999999999999</v>
      </c>
      <c r="K10" s="4" t="n">
        <v>0.9379999999999999</v>
      </c>
      <c r="L10" s="4" t="n">
        <v>0.475</v>
      </c>
      <c r="M10" s="4" t="n">
        <v>0.639</v>
      </c>
      <c r="N10" s="4" t="n">
        <v>0.754</v>
      </c>
    </row>
    <row r="11">
      <c r="A11" t="inlineStr">
        <is>
          <t>7-Day Follow-Up</t>
        </is>
      </c>
      <c r="B11" t="n">
        <v>2022</v>
      </c>
      <c r="C11" t="inlineStr">
        <is>
          <t>Medicaid only</t>
        </is>
      </c>
      <c r="D11" t="inlineStr">
        <is>
          <t>Administrative</t>
        </is>
      </c>
      <c r="E11" t="inlineStr">
        <is>
          <t>Percentage of Emergency Department (ED) Visits for Mental Illness or Intentional Self-Harm with a Follow-Up Visit Within 7 Days of the ED Visit: Ages 6 to 17</t>
        </is>
      </c>
      <c r="F11" t="inlineStr">
        <is>
          <t>Higher values are better</t>
        </is>
      </c>
      <c r="G11" t="inlineStr">
        <is>
          <t>Mathematica analysis of the Quality Measure Reporting (QMR) system reports for the FFY 2022 reporting cycle as of June 1, 2023.</t>
        </is>
      </c>
      <c r="H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0.439</v>
      </c>
      <c r="J11" s="4" t="n">
        <v>0.546</v>
      </c>
      <c r="K11" s="4" t="n">
        <v>0.888</v>
      </c>
      <c r="L11" s="4" t="n">
        <v>0.054</v>
      </c>
      <c r="M11" s="4" t="n">
        <v>0.462</v>
      </c>
      <c r="N11" s="4" t="n">
        <v>0.654</v>
      </c>
    </row>
    <row r="12">
      <c r="A12" t="inlineStr">
        <is>
          <t>7-Day Follow-Up</t>
        </is>
      </c>
      <c r="B12" t="n">
        <v>2022</v>
      </c>
      <c r="C12" t="inlineStr">
        <is>
          <t>CHIP only</t>
        </is>
      </c>
      <c r="D12" t="inlineStr">
        <is>
          <t>Administrative</t>
        </is>
      </c>
      <c r="E12" t="inlineStr">
        <is>
          <t>Percentage of Emergency Department (ED) Visits for Mental Illness or Intentional Self-Harm with a Follow-Up Visit Within 7 Days of the ED Visit: Ages 6 to 17</t>
        </is>
      </c>
      <c r="F12" t="inlineStr">
        <is>
          <t>Higher values are better</t>
        </is>
      </c>
      <c r="G12" t="inlineStr">
        <is>
          <t>Mathematica analysis of the Quality Measure Reporting (QMR) system reports for the FFY 2022 reporting cycle as of June 1, 2023.</t>
        </is>
      </c>
      <c r="H12"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0.514</v>
      </c>
      <c r="J12" s="4" t="n">
        <v>0.546</v>
      </c>
      <c r="K12" s="4" t="n">
        <v>0.888</v>
      </c>
      <c r="L12" s="4" t="n">
        <v>0.054</v>
      </c>
      <c r="M12" s="4" t="n">
        <v>0.462</v>
      </c>
      <c r="N12" s="4" t="n">
        <v>0.654</v>
      </c>
    </row>
    <row r="13">
      <c r="A13" t="inlineStr">
        <is>
          <t>7-Day Follow-Up</t>
        </is>
      </c>
      <c r="B13" t="n">
        <v>2023</v>
      </c>
      <c r="C13" t="inlineStr">
        <is>
          <t>Medicaid only</t>
        </is>
      </c>
      <c r="D13" t="inlineStr">
        <is>
          <t>Administrative</t>
        </is>
      </c>
      <c r="E13" t="inlineStr">
        <is>
          <t>Percentage of Emergency Department (ED) Visits for Mental Illness or Intentional Self-Harm with a Follow-Up Visit Within 7 Days of the ED Visit: Ages 6 to 17</t>
        </is>
      </c>
      <c r="F13" t="inlineStr">
        <is>
          <t>Higher values are better</t>
        </is>
      </c>
      <c r="G13" t="inlineStr">
        <is>
          <t>Mathematica analysis of the Quality Measure Reporting (QMR) system reports for the 2023 Core Set as of May 16, 2024.</t>
        </is>
      </c>
      <c r="H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3" s="4" t="n">
        <v>0.422</v>
      </c>
      <c r="J13" s="4" t="n">
        <v>0.515</v>
      </c>
      <c r="K13" s="4" t="n">
        <v>0.871</v>
      </c>
      <c r="L13" s="4" t="n">
        <v>0.166</v>
      </c>
      <c r="M13" s="4" t="n">
        <v>0.425</v>
      </c>
      <c r="N13" s="4" t="n">
        <v>0.609</v>
      </c>
    </row>
    <row r="14">
      <c r="A14" t="inlineStr">
        <is>
          <t>7-Day Follow-Up</t>
        </is>
      </c>
      <c r="B14" t="n">
        <v>2023</v>
      </c>
      <c r="C14" t="inlineStr">
        <is>
          <t>CHIP only</t>
        </is>
      </c>
      <c r="D14" t="inlineStr">
        <is>
          <t>Administrative</t>
        </is>
      </c>
      <c r="E14" t="inlineStr">
        <is>
          <t>Percentage of Emergency Department (ED) Visits for Mental Illness or Intentional Self-Harm with a Follow-Up Visit Within 7 Days of the ED Visit: Ages 6 to 17</t>
        </is>
      </c>
      <c r="F14" t="inlineStr">
        <is>
          <t>Higher values are better</t>
        </is>
      </c>
      <c r="G14" t="inlineStr">
        <is>
          <t>Mathematica analysis of the Quality Measure Reporting (QMR) system reports for the 2023 Core Set as of May 16, 2024.</t>
        </is>
      </c>
      <c r="H1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s="4" t="n">
        <v>0.432</v>
      </c>
      <c r="J14" s="4" t="n">
        <v>0.515</v>
      </c>
      <c r="K14" s="4" t="n">
        <v>0.871</v>
      </c>
      <c r="L14" s="4" t="n">
        <v>0.166</v>
      </c>
      <c r="M14" s="4" t="n">
        <v>0.425</v>
      </c>
      <c r="N14" s="4" t="n">
        <v>0.609</v>
      </c>
    </row>
    <row r="15">
      <c r="A15" t="inlineStr">
        <is>
          <t>7-Day Follow-Up</t>
        </is>
      </c>
      <c r="B15" t="n">
        <v>2024</v>
      </c>
      <c r="C15" t="inlineStr">
        <is>
          <t>Medicaid (Title XIX), Title XXI-funded Medicaid Expansion CHIP, Separate CHIP (Title XXI)</t>
        </is>
      </c>
      <c r="D15" t="inlineStr">
        <is>
          <t>Administrative</t>
        </is>
      </c>
      <c r="E15" t="inlineStr">
        <is>
          <t>Percentage of Emergency Department (ED) Visits for Mental Illness or Intentional Self-Harm with a Follow-Up Visit Within 7 Days of the ED Visit: Ages 6 to 17</t>
        </is>
      </c>
      <c r="F15" t="inlineStr">
        <is>
          <t>Higher values are better</t>
        </is>
      </c>
      <c r="G15" t="inlineStr">
        <is>
          <t>Mathematica analysis of the Quality Measure Reporting (QMR) system reports for the 2024 Core Set as of April 28, 2025.</t>
        </is>
      </c>
      <c r="H15" t="inlineStr">
        <is>
          <t>State-specific comments: Rate combines the Medicaid and separate CHIP data reported by the state in the QMR system. See Medicaid and separate CHIP state-specific comments for information about the data reported for each population.</t>
        </is>
      </c>
      <c r="I15" s="4" t="n">
        <v>0.424</v>
      </c>
      <c r="J15" s="4" t="n">
        <v>0.508</v>
      </c>
      <c r="K15" s="4" t="n">
        <v>0.87</v>
      </c>
      <c r="L15" s="4" t="n">
        <v>0.334</v>
      </c>
      <c r="M15" s="4" t="n">
        <v>0.434</v>
      </c>
      <c r="N15" s="4" t="n">
        <v>0.618</v>
      </c>
    </row>
    <row r="16">
      <c r="A16" t="inlineStr">
        <is>
          <t>7-Day Follow-Up</t>
        </is>
      </c>
      <c r="B16" t="n">
        <v>2024</v>
      </c>
      <c r="C16" t="inlineStr">
        <is>
          <t>Medicaid (Title XIX), Title XXI-funded Medicaid Expansion CHIP</t>
        </is>
      </c>
      <c r="D16" t="inlineStr">
        <is>
          <t>Administrative</t>
        </is>
      </c>
      <c r="E16" t="inlineStr">
        <is>
          <t>Percentage of Emergency Department (ED) Visits for Mental Illness or Intentional Self-Harm with a Follow-Up Visit Within 7 Days of the ED Visit: Ages 6 to 17</t>
        </is>
      </c>
      <c r="F16" t="inlineStr">
        <is>
          <t>Higher values are better</t>
        </is>
      </c>
      <c r="G16" t="inlineStr">
        <is>
          <t>Mathematica analysis of the Quality Measure Reporting (QMR) system reports for the 2024 Core Set as of April 28, 2025.</t>
        </is>
      </c>
      <c r="H1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6" s="4" t="n">
        <v>0.424</v>
      </c>
      <c r="J16" s="4" t="n">
        <v>0.508</v>
      </c>
      <c r="K16" s="4" t="n">
        <v>0.87</v>
      </c>
      <c r="L16" s="4" t="n">
        <v>0.334</v>
      </c>
      <c r="M16" s="4" t="n">
        <v>0.434</v>
      </c>
      <c r="N16" s="4" t="n">
        <v>0.618</v>
      </c>
    </row>
    <row r="17">
      <c r="A17" t="inlineStr">
        <is>
          <t>7-Day Follow-Up</t>
        </is>
      </c>
      <c r="B17" t="n">
        <v>2024</v>
      </c>
      <c r="C17" t="inlineStr">
        <is>
          <t>Separate CHIP (Title XXI)</t>
        </is>
      </c>
      <c r="D17" t="inlineStr">
        <is>
          <t>Administrative</t>
        </is>
      </c>
      <c r="E17" t="inlineStr">
        <is>
          <t>Percentage of Emergency Department (ED) Visits for Mental Illness or Intentional Self-Harm with a Follow-Up Visit Within 7 Days of the ED Visit: Ages 6 to 17</t>
        </is>
      </c>
      <c r="F17" t="inlineStr">
        <is>
          <t>Higher values are better</t>
        </is>
      </c>
      <c r="G17" t="inlineStr">
        <is>
          <t>Mathematica analysis of the Quality Measure Reporting (QMR) system reports for the 2024 Core Set as of April 28, 2025.</t>
        </is>
      </c>
      <c r="H17"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7" s="4" t="n">
        <v>0.493</v>
      </c>
      <c r="J17" s="4" t="n">
        <v>0.508</v>
      </c>
      <c r="K17" s="4" t="n">
        <v>0.87</v>
      </c>
      <c r="L17" s="4" t="n">
        <v>0.334</v>
      </c>
      <c r="M17" s="4" t="n">
        <v>0.434</v>
      </c>
      <c r="N17" s="4" t="n">
        <v>0.618</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18" customWidth="1" min="1" max="1"/>
    <col width="13" customWidth="1" min="2" max="2"/>
    <col width="60" customWidth="1" min="3" max="3"/>
    <col width="16" customWidth="1" min="4" max="4"/>
    <col width="60" customWidth="1" min="5" max="5"/>
    <col width="26" customWidth="1" min="6" max="6"/>
    <col width="60" customWidth="1" min="7" max="7"/>
    <col width="60" customWidth="1" min="8" max="8"/>
    <col width="1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Emergency Department Visit for Mental Illness: Age 18 and Older (FUM-AD)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30-Day Follow-Up</t>
        </is>
      </c>
      <c r="B4" t="n">
        <v>2021</v>
      </c>
      <c r="C4" t="inlineStr">
        <is>
          <t>Medicaid</t>
        </is>
      </c>
      <c r="D4" t="inlineStr">
        <is>
          <t>Administrative</t>
        </is>
      </c>
      <c r="E4" t="inlineStr">
        <is>
          <t>Percentage of Emergency Department (ED) Visits for Mental Illness or Intentional Self-Harm with a Follow-Up Visit Within 30 Days of the ED Visit: Ages 18 to 64</t>
        </is>
      </c>
      <c r="F4" t="inlineStr">
        <is>
          <t>Higher values are better</t>
        </is>
      </c>
      <c r="G4" t="inlineStr">
        <is>
          <t>Mathematica analysis of the Quality Measure Reporting (QMR) system reports for the FFY 2021 reporting cycle as of June 1, 2023.</t>
        </is>
      </c>
      <c r="H4"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0.435</v>
      </c>
      <c r="J4" s="4" t="n">
        <v>0.548</v>
      </c>
      <c r="K4" s="4" t="n">
        <v>0.882</v>
      </c>
      <c r="L4" s="4" t="n">
        <v>0.118</v>
      </c>
      <c r="M4" s="4" t="n">
        <v>0.426</v>
      </c>
      <c r="N4" s="4" t="n">
        <v>0.636</v>
      </c>
    </row>
    <row r="5">
      <c r="A5" t="inlineStr">
        <is>
          <t>30-Day Follow-Up</t>
        </is>
      </c>
      <c r="B5" t="n">
        <v>2022</v>
      </c>
      <c r="C5" t="inlineStr">
        <is>
          <t>Medicaid</t>
        </is>
      </c>
      <c r="D5" t="inlineStr">
        <is>
          <t>Administrative</t>
        </is>
      </c>
      <c r="E5" t="inlineStr">
        <is>
          <t>Percentage of Emergency Department (ED) Visits for Mental Illness or Intentional Self-Harm with a Follow-Up Visit Within 30 Days of the ED Visit: Ages 18 to 64</t>
        </is>
      </c>
      <c r="F5" t="inlineStr">
        <is>
          <t>Higher values are better</t>
        </is>
      </c>
      <c r="G5" t="inlineStr">
        <is>
          <t>Mathematica analysis of the Quality Measure Reporting (QMR) system reports for the FFY 2022 reporting cycle as of June 1, 2023.</t>
        </is>
      </c>
      <c r="H5"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0.4</v>
      </c>
      <c r="J5" s="4" t="n">
        <v>0.525</v>
      </c>
      <c r="K5" s="4" t="n">
        <v>0.844</v>
      </c>
      <c r="L5" s="4" t="n">
        <v>0.124</v>
      </c>
      <c r="M5" s="4" t="n">
        <v>0.429</v>
      </c>
      <c r="N5" s="4" t="n">
        <v>0.635</v>
      </c>
    </row>
    <row r="6">
      <c r="A6" t="inlineStr">
        <is>
          <t>30-Day Follow-Up</t>
        </is>
      </c>
      <c r="B6" t="n">
        <v>2023</v>
      </c>
      <c r="C6" t="inlineStr">
        <is>
          <t>Medicaid</t>
        </is>
      </c>
      <c r="D6" t="inlineStr">
        <is>
          <t>Administrative</t>
        </is>
      </c>
      <c r="E6" t="inlineStr">
        <is>
          <t>Percentage of Emergency Department (ED) Visits for Mental Illness or Intentional Self-Harm with a Follow-Up Visit Within 30 Days of the ED Visit: Ages 18 to 64</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0.395</v>
      </c>
      <c r="J6" s="4" t="n">
        <v>0.513</v>
      </c>
      <c r="K6" s="4" t="n">
        <v>0.805</v>
      </c>
      <c r="L6" s="4" t="n">
        <v>0.138</v>
      </c>
      <c r="M6" s="4" t="n">
        <v>0.454</v>
      </c>
      <c r="N6" s="4" t="n">
        <v>0.615</v>
      </c>
    </row>
    <row r="7">
      <c r="A7" t="inlineStr">
        <is>
          <t>30-Day Follow-Up</t>
        </is>
      </c>
      <c r="B7" t="n">
        <v>2024</v>
      </c>
      <c r="C7" t="inlineStr">
        <is>
          <t>Medicaid (Title XIX), Title XXI-funded Medicaid Expansion CHIP, Separate CHIP (Title XXI)</t>
        </is>
      </c>
      <c r="D7" t="inlineStr">
        <is>
          <t>Administrative</t>
        </is>
      </c>
      <c r="E7" t="inlineStr">
        <is>
          <t>Percentage of Emergency Department (ED) Visits for Mental Illness or Intentional Self-Harm with a Follow-Up Visit Within 30 Days of the ED Visit: Ages 18 to 64</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0.391</v>
      </c>
      <c r="J7" s="4" t="n">
        <v>0.507</v>
      </c>
      <c r="K7" s="4" t="n">
        <v>0.8120000000000001</v>
      </c>
      <c r="L7" s="4" t="n">
        <v>0.285</v>
      </c>
      <c r="M7" s="4" t="n">
        <v>0.462</v>
      </c>
      <c r="N7" s="4" t="n">
        <v>0.592</v>
      </c>
    </row>
    <row r="8">
      <c r="A8" t="inlineStr">
        <is>
          <t>30-Day Follow-Up</t>
        </is>
      </c>
      <c r="B8" t="n">
        <v>2024</v>
      </c>
      <c r="C8" t="inlineStr">
        <is>
          <t>Medicaid (Title XIX), Title XXI-funded Medicaid Expansion CHIP</t>
        </is>
      </c>
      <c r="D8" t="inlineStr">
        <is>
          <t>Administrative</t>
        </is>
      </c>
      <c r="E8" t="inlineStr">
        <is>
          <t>Percentage of Emergency Department (ED) Visits for Mental Illness or Intentional Self-Harm with a Follow-Up Visit Within 30 Days of the ED Visit: Ages 18 to 64</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0.391</v>
      </c>
      <c r="J8" s="4" t="n">
        <v>0.507</v>
      </c>
      <c r="K8" s="4" t="n">
        <v>0.8120000000000001</v>
      </c>
      <c r="L8" s="4" t="n">
        <v>0.285</v>
      </c>
      <c r="M8" s="4" t="n">
        <v>0.462</v>
      </c>
      <c r="N8" s="4" t="n">
        <v>0.592</v>
      </c>
    </row>
    <row r="9">
      <c r="A9" t="inlineStr">
        <is>
          <t>30-Day Follow-Up</t>
        </is>
      </c>
      <c r="B9" t="n">
        <v>2024</v>
      </c>
      <c r="C9" t="inlineStr">
        <is>
          <t>Separate CHIP (Title XXI)</t>
        </is>
      </c>
      <c r="D9" t="inlineStr">
        <is>
          <t>Administrative</t>
        </is>
      </c>
      <c r="E9" t="inlineStr">
        <is>
          <t>Percentage of Emergency Department (ED) Visits for Mental Illness or Intentional Self-Harm with a Follow-Up Visit Within 30 Days of the ED Visit: Ages 18 to 64</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t="inlineStr">
        <is>
          <t>Data suppressed</t>
        </is>
      </c>
      <c r="J9" s="4" t="n">
        <v>0.507</v>
      </c>
      <c r="K9" s="4" t="n">
        <v>0.8120000000000001</v>
      </c>
      <c r="L9" s="4" t="n">
        <v>0.285</v>
      </c>
      <c r="M9" s="4" t="n">
        <v>0.462</v>
      </c>
      <c r="N9" s="4" t="n">
        <v>0.592</v>
      </c>
    </row>
    <row r="10">
      <c r="A10" t="inlineStr">
        <is>
          <t>7-Day Follow-Up</t>
        </is>
      </c>
      <c r="B10" t="n">
        <v>2021</v>
      </c>
      <c r="C10" t="inlineStr">
        <is>
          <t>Medicaid</t>
        </is>
      </c>
      <c r="D10" t="inlineStr">
        <is>
          <t>Administrative</t>
        </is>
      </c>
      <c r="E10" t="inlineStr">
        <is>
          <t>Percentage of Emergency Department (ED) Visits for Mental Illness or Intentional Self-Harm with a Follow-Up Visit Within 7 Days of the ED Visit: Ages 18 to 64</t>
        </is>
      </c>
      <c r="F10" t="inlineStr">
        <is>
          <t>Higher values are better</t>
        </is>
      </c>
      <c r="G10" t="inlineStr">
        <is>
          <t>Mathematica analysis of the Quality Measure Reporting (QMR) system reports for the FFY 2021 reporting cycle as of June 1, 2023.</t>
        </is>
      </c>
      <c r="H10"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0" s="4" t="n">
        <v>0.281</v>
      </c>
      <c r="J10" s="4" t="n">
        <v>0.389</v>
      </c>
      <c r="K10" s="4" t="n">
        <v>0.791</v>
      </c>
      <c r="L10" s="4" t="n">
        <v>0.036</v>
      </c>
      <c r="M10" s="4" t="n">
        <v>0.277</v>
      </c>
      <c r="N10" s="4" t="n">
        <v>0.525</v>
      </c>
    </row>
    <row r="11">
      <c r="A11" t="inlineStr">
        <is>
          <t>7-Day Follow-Up</t>
        </is>
      </c>
      <c r="B11" t="n">
        <v>2022</v>
      </c>
      <c r="C11" t="inlineStr">
        <is>
          <t>Medicaid</t>
        </is>
      </c>
      <c r="D11" t="inlineStr">
        <is>
          <t>Administrative</t>
        </is>
      </c>
      <c r="E11" t="inlineStr">
        <is>
          <t>Percentage of Emergency Department (ED) Visits for Mental Illness or Intentional Self-Harm with a Follow-Up Visit Within 7 Days of the ED Visit: Ages 18 to 64</t>
        </is>
      </c>
      <c r="F11" t="inlineStr">
        <is>
          <t>Higher values are better</t>
        </is>
      </c>
      <c r="G11" t="inlineStr">
        <is>
          <t>Mathematica analysis of the Quality Measure Reporting (QMR) system reports for the FFY 2022 reporting cycle as of June 1, 2023.</t>
        </is>
      </c>
      <c r="H11"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0.254</v>
      </c>
      <c r="J11" s="4" t="n">
        <v>0.389</v>
      </c>
      <c r="K11" s="4" t="n">
        <v>0.774</v>
      </c>
      <c r="L11" s="4" t="n">
        <v>0.035</v>
      </c>
      <c r="M11" s="4" t="n">
        <v>0.292</v>
      </c>
      <c r="N11" s="4" t="n">
        <v>0.526</v>
      </c>
    </row>
    <row r="12">
      <c r="A12" t="inlineStr">
        <is>
          <t>7-Day Follow-Up</t>
        </is>
      </c>
      <c r="B12" t="n">
        <v>2023</v>
      </c>
      <c r="C12" t="inlineStr">
        <is>
          <t>Medicaid</t>
        </is>
      </c>
      <c r="D12" t="inlineStr">
        <is>
          <t>Administrative</t>
        </is>
      </c>
      <c r="E12" t="inlineStr">
        <is>
          <t>Percentage of Emergency Department (ED) Visits for Mental Illness or Intentional Self-Harm with a Follow-Up Visit Within 7 Days of the ED Visit: Ages 18 to 64</t>
        </is>
      </c>
      <c r="F12" t="inlineStr">
        <is>
          <t>Higher values are better</t>
        </is>
      </c>
      <c r="G12" t="inlineStr">
        <is>
          <t>Mathematica analysis of the Quality Measure Reporting (QMR) system reports for the 2023 Core Set as of May 16, 2024.</t>
        </is>
      </c>
      <c r="H12"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0.257</v>
      </c>
      <c r="J12" s="4" t="n">
        <v>0.354</v>
      </c>
      <c r="K12" s="4" t="n">
        <v>0.729</v>
      </c>
      <c r="L12" s="4" t="n">
        <v>0.079</v>
      </c>
      <c r="M12" s="4" t="n">
        <v>0.303</v>
      </c>
      <c r="N12" s="4" t="n">
        <v>0.502</v>
      </c>
    </row>
    <row r="13">
      <c r="A13" t="inlineStr">
        <is>
          <t>7-Day Follow-Up</t>
        </is>
      </c>
      <c r="B13" t="n">
        <v>2024</v>
      </c>
      <c r="C13" t="inlineStr">
        <is>
          <t>Medicaid (Title XIX), Title XXI-funded Medicaid Expansion CHIP, Separate CHIP (Title XXI)</t>
        </is>
      </c>
      <c r="D13" t="inlineStr">
        <is>
          <t>Administrative</t>
        </is>
      </c>
      <c r="E13" t="inlineStr">
        <is>
          <t>Percentage of Emergency Department (ED) Visits for Mental Illness or Intentional Self-Harm with a Follow-Up Visit Within 7 Days of the ED Visit: Ages 18 to 64</t>
        </is>
      </c>
      <c r="F13" t="inlineStr">
        <is>
          <t>Higher values are better</t>
        </is>
      </c>
      <c r="G13" t="inlineStr">
        <is>
          <t>Mathematica analysis of the Quality Measure Reporting (QMR) system reports for the 2024 Core Set as of April 28, 2025.</t>
        </is>
      </c>
      <c r="H13" t="inlineStr">
        <is>
          <t>State-specific comments: Rate combines the Medicaid and separate CHIP data reported by the state in the QMR system. See Medicaid and separate CHIP state-specific comments for information about the data reported for each population.</t>
        </is>
      </c>
      <c r="I13" s="4" t="n">
        <v>0.252</v>
      </c>
      <c r="J13" s="4" t="n">
        <v>0.353</v>
      </c>
      <c r="K13" s="4" t="n">
        <v>0.723</v>
      </c>
      <c r="L13" s="4" t="n">
        <v>0.162</v>
      </c>
      <c r="M13" s="4" t="n">
        <v>0.289</v>
      </c>
      <c r="N13" s="4" t="n">
        <v>0.45</v>
      </c>
    </row>
    <row r="14">
      <c r="A14" t="inlineStr">
        <is>
          <t>7-Day Follow-Up</t>
        </is>
      </c>
      <c r="B14" t="n">
        <v>2024</v>
      </c>
      <c r="C14" t="inlineStr">
        <is>
          <t>Medicaid (Title XIX), Title XXI-funded Medicaid Expansion CHIP</t>
        </is>
      </c>
      <c r="D14" t="inlineStr">
        <is>
          <t>Administrative</t>
        </is>
      </c>
      <c r="E14" t="inlineStr">
        <is>
          <t>Percentage of Emergency Department (ED) Visits for Mental Illness or Intentional Self-Harm with a Follow-Up Visit Within 7 Days of the ED Visit: Ages 18 to 64</t>
        </is>
      </c>
      <c r="F14" t="inlineStr">
        <is>
          <t>Higher values are better</t>
        </is>
      </c>
      <c r="G14" t="inlineStr">
        <is>
          <t>Mathematica analysis of the Quality Measure Reporting (QMR) system reports for the 2024 Core Set as of April 28, 2025.</t>
        </is>
      </c>
      <c r="H1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s="4" t="n">
        <v>0.252</v>
      </c>
      <c r="J14" s="4" t="n">
        <v>0.353</v>
      </c>
      <c r="K14" s="4" t="n">
        <v>0.723</v>
      </c>
      <c r="L14" s="4" t="n">
        <v>0.162</v>
      </c>
      <c r="M14" s="4" t="n">
        <v>0.289</v>
      </c>
      <c r="N14" s="4" t="n">
        <v>0.45</v>
      </c>
    </row>
    <row r="15">
      <c r="A15" t="inlineStr">
        <is>
          <t>7-Day Follow-Up</t>
        </is>
      </c>
      <c r="B15" t="n">
        <v>2024</v>
      </c>
      <c r="C15" t="inlineStr">
        <is>
          <t>Separate CHIP (Title XXI)</t>
        </is>
      </c>
      <c r="D15" t="inlineStr">
        <is>
          <t>Administrative</t>
        </is>
      </c>
      <c r="E15" t="inlineStr">
        <is>
          <t>Percentage of Emergency Department (ED) Visits for Mental Illness or Intentional Self-Harm with a Follow-Up Visit Within 7 Days of the ED Visit: Ages 18 to 64</t>
        </is>
      </c>
      <c r="F15" t="inlineStr">
        <is>
          <t>Higher values are better</t>
        </is>
      </c>
      <c r="G15" t="inlineStr">
        <is>
          <t>Mathematica analysis of the Quality Measure Reporting (QMR) system reports for the 2024 Core Set as of April 28, 2025.</t>
        </is>
      </c>
      <c r="H15"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t="inlineStr">
        <is>
          <t>Data suppressed</t>
        </is>
      </c>
      <c r="J15" s="4" t="n">
        <v>0.353</v>
      </c>
      <c r="K15" s="4" t="n">
        <v>0.723</v>
      </c>
      <c r="L15" s="4" t="n">
        <v>0.162</v>
      </c>
      <c r="M15" s="4" t="n">
        <v>0.289</v>
      </c>
      <c r="N15" s="4" t="n">
        <v>0.45</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cols>
    <col width="18" customWidth="1" min="1" max="1"/>
    <col width="13" customWidth="1" min="2" max="2"/>
    <col width="60" customWidth="1" min="3" max="3"/>
    <col width="16" customWidth="1" min="4" max="4"/>
    <col width="60" customWidth="1" min="5" max="5"/>
    <col width="26" customWidth="1" min="6" max="6"/>
    <col width="60" customWidth="1" min="7" max="7"/>
    <col width="60" customWidth="1" min="8" max="8"/>
    <col width="1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Emergency Department Visit for Substance Use: Ages 13 to 17 (FUA-CH)</t>
        </is>
      </c>
    </row>
    <row r="2">
      <c r="A2" t="inlineStr">
        <is>
          <t>30-Day Follow-Up: Due to data source or specification changes, comparisons should only be made within the following Core Set Years: 2023-2024. See measure information tab for more information.</t>
        </is>
      </c>
      <c r="B2" t="inlineStr"/>
    </row>
    <row r="3"/>
    <row r="4">
      <c r="A4" s="1" t="inlineStr">
        <is>
          <t>Rate</t>
        </is>
      </c>
      <c r="B4" s="1" t="inlineStr">
        <is>
          <t>Data Period</t>
        </is>
      </c>
      <c r="C4" s="1" t="inlineStr">
        <is>
          <t>Population</t>
        </is>
      </c>
      <c r="D4" s="1" t="inlineStr">
        <is>
          <t>Methodology</t>
        </is>
      </c>
      <c r="E4" s="1" t="inlineStr">
        <is>
          <t>Value Type</t>
        </is>
      </c>
      <c r="F4" s="1" t="inlineStr">
        <is>
          <t>Value Directionality</t>
        </is>
      </c>
      <c r="G4" s="1" t="inlineStr">
        <is>
          <t>Analysis Source</t>
        </is>
      </c>
      <c r="H4" s="1" t="inlineStr">
        <is>
          <t>Notes</t>
        </is>
      </c>
      <c r="I4" s="1" t="inlineStr">
        <is>
          <t>Value</t>
        </is>
      </c>
      <c r="J4" s="1" t="inlineStr">
        <is>
          <t>Median</t>
        </is>
      </c>
      <c r="K4" s="1" t="inlineStr">
        <is>
          <t>Maximum</t>
        </is>
      </c>
      <c r="L4" s="1" t="inlineStr">
        <is>
          <t>Minimum</t>
        </is>
      </c>
      <c r="M4" s="1" t="inlineStr">
        <is>
          <t>First quartile</t>
        </is>
      </c>
      <c r="N4" s="1" t="inlineStr">
        <is>
          <t>Third quartile</t>
        </is>
      </c>
    </row>
    <row r="5">
      <c r="A5" t="inlineStr">
        <is>
          <t>30-Day Follow-Up</t>
        </is>
      </c>
      <c r="B5" t="n">
        <v>2022</v>
      </c>
      <c r="C5" t="inlineStr">
        <is>
          <t>Medicaid only</t>
        </is>
      </c>
      <c r="D5" t="inlineStr">
        <is>
          <t>Administrative</t>
        </is>
      </c>
      <c r="E5" t="inlineStr">
        <is>
          <t>Percentage of Emergency Department (ED) Visits for Alcohol and Other Drug Abuse or Dependence with a Follow-Up Visit Within 30 Days of the ED Visit: Ages 13 to 17</t>
        </is>
      </c>
      <c r="F5" t="inlineStr">
        <is>
          <t>Higher values are better</t>
        </is>
      </c>
      <c r="G5" t="inlineStr">
        <is>
          <t>Mathematica analysis of the Quality Measure Reporting (QMR) system reports for the FFY 2022 reporting cycle as of June 1, 2023.</t>
        </is>
      </c>
      <c r="H5"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I5" s="4" t="n">
        <v>0.05</v>
      </c>
      <c r="J5" s="4" t="n">
        <v>0.106</v>
      </c>
      <c r="K5" s="4" t="n">
        <v>0.5</v>
      </c>
      <c r="L5" s="4" t="n">
        <v>0.029</v>
      </c>
      <c r="M5" s="4" t="n">
        <v>0.06</v>
      </c>
      <c r="N5" s="4" t="n">
        <v>0.163</v>
      </c>
    </row>
    <row r="6">
      <c r="A6" t="inlineStr">
        <is>
          <t>30-Day Follow-Up</t>
        </is>
      </c>
      <c r="B6" t="n">
        <v>2022</v>
      </c>
      <c r="C6" t="inlineStr">
        <is>
          <t>CHIP only</t>
        </is>
      </c>
      <c r="D6" t="inlineStr">
        <is>
          <t>Administrative</t>
        </is>
      </c>
      <c r="E6" t="inlineStr">
        <is>
          <t>Percentage of Emergency Department (ED) Visits for Alcohol and Other Drug Abuse or Dependence with a Follow-Up Visit Within 30 Days of the ED Visit: Ages 13 to 17</t>
        </is>
      </c>
      <c r="F6" t="inlineStr">
        <is>
          <t>Higher values are better</t>
        </is>
      </c>
      <c r="G6" t="inlineStr">
        <is>
          <t>Mathematica analysis of the Quality Measure Reporting (QMR) system reports for the FFY 2022 reporting cycle as of June 1, 2023.</t>
        </is>
      </c>
      <c r="H6"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I6" t="inlineStr">
        <is>
          <t>Data suppressed</t>
        </is>
      </c>
      <c r="J6" s="4" t="n">
        <v>0.106</v>
      </c>
      <c r="K6" s="4" t="n">
        <v>0.5</v>
      </c>
      <c r="L6" s="4" t="n">
        <v>0.029</v>
      </c>
      <c r="M6" s="4" t="n">
        <v>0.06</v>
      </c>
      <c r="N6" s="4" t="n">
        <v>0.163</v>
      </c>
    </row>
    <row r="7">
      <c r="A7" t="inlineStr">
        <is>
          <t>30-Day Follow-Up</t>
        </is>
      </c>
      <c r="B7" t="n">
        <v>2023</v>
      </c>
      <c r="C7" t="inlineStr">
        <is>
          <t>Medicaid only</t>
        </is>
      </c>
      <c r="D7" t="inlineStr">
        <is>
          <t>Administrative</t>
        </is>
      </c>
      <c r="E7" t="inlineStr">
        <is>
          <t>Percentage of Emergency Department (ED) Visits for Substance Use Disorder (SUD) or Drug Overdose with a Follow-Up Visit Within 30 Days of the ED Visit: Ages 13 to 17</t>
        </is>
      </c>
      <c r="F7" t="inlineStr">
        <is>
          <t>Higher values are better</t>
        </is>
      </c>
      <c r="G7" t="inlineStr">
        <is>
          <t>Mathematica analysis of the Quality Measure Reporting (QMR) system reports for the 2023 Core Set as of May 16, 2024.</t>
        </is>
      </c>
      <c r="H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0.266</v>
      </c>
      <c r="J7" s="4" t="n">
        <v>0.337</v>
      </c>
      <c r="K7" s="4" t="n">
        <v>0.621</v>
      </c>
      <c r="L7" s="4" t="n">
        <v>0.126</v>
      </c>
      <c r="M7" s="4" t="n">
        <v>0.281</v>
      </c>
      <c r="N7" s="4" t="n">
        <v>0.422</v>
      </c>
    </row>
    <row r="8">
      <c r="A8" t="inlineStr">
        <is>
          <t>30-Day Follow-Up</t>
        </is>
      </c>
      <c r="B8" t="n">
        <v>2023</v>
      </c>
      <c r="C8" t="inlineStr">
        <is>
          <t>CHIP only</t>
        </is>
      </c>
      <c r="D8" t="inlineStr">
        <is>
          <t>Administrative</t>
        </is>
      </c>
      <c r="E8" t="inlineStr">
        <is>
          <t>Percentage of Emergency Department (ED) Visits for Substance Use Disorder (SUD) or Drug Overdose with a Follow-Up Visit Within 30 Days of the ED Visit: Ages 13 to 17</t>
        </is>
      </c>
      <c r="F8" t="inlineStr">
        <is>
          <t>Higher values are better</t>
        </is>
      </c>
      <c r="G8" t="inlineStr">
        <is>
          <t>Mathematica analysis of the Quality Measure Reporting (QMR) system reports for the 2023 Core Set as of May 16, 2024.</t>
        </is>
      </c>
      <c r="H8"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t="inlineStr">
        <is>
          <t>Data suppressed</t>
        </is>
      </c>
      <c r="J8" s="4" t="n">
        <v>0.337</v>
      </c>
      <c r="K8" s="4" t="n">
        <v>0.621</v>
      </c>
      <c r="L8" s="4" t="n">
        <v>0.126</v>
      </c>
      <c r="M8" s="4" t="n">
        <v>0.281</v>
      </c>
      <c r="N8" s="4" t="n">
        <v>0.422</v>
      </c>
    </row>
    <row r="9">
      <c r="A9" t="inlineStr">
        <is>
          <t>30-Day Follow-Up</t>
        </is>
      </c>
      <c r="B9" t="n">
        <v>2024</v>
      </c>
      <c r="C9" t="inlineStr">
        <is>
          <t>Medicaid (Title XIX), Title XXI-funded Medicaid Expansion CHIP, Separate CHIP (Title XXI)</t>
        </is>
      </c>
      <c r="D9" t="inlineStr">
        <is>
          <t>Administrative</t>
        </is>
      </c>
      <c r="E9" t="inlineStr">
        <is>
          <t>Percentage of Emergency Department (ED) Visits for Substance Use Disorder (SUD) or Drug Overdose with a Follow-Up Visit Within 30 Days of the ED Visit: Ages 13 to 17</t>
        </is>
      </c>
      <c r="F9" t="inlineStr">
        <is>
          <t>Higher values are better</t>
        </is>
      </c>
      <c r="G9" t="inlineStr">
        <is>
          <t>Mathematica analysis of the Quality Measure Reporting (QMR) system reports for the 2024 Core Set as of April 28, 2025.</t>
        </is>
      </c>
      <c r="H9" t="inlineStr">
        <is>
          <t>State-specific comments: Rate combines the Medicaid and separate CHIP data reported by the state in the QMR system. See Medicaid and separate CHIP state-specific comments for information about the data reported for each population.</t>
        </is>
      </c>
      <c r="I9" s="4" t="n">
        <v>0.244</v>
      </c>
      <c r="J9" s="4" t="n">
        <v>0.33</v>
      </c>
      <c r="K9" s="4" t="n">
        <v>0.603</v>
      </c>
      <c r="L9" s="4" t="n">
        <v>0.029</v>
      </c>
      <c r="M9" s="4" t="n">
        <v>0.275</v>
      </c>
      <c r="N9" s="4" t="n">
        <v>0.421</v>
      </c>
    </row>
    <row r="10">
      <c r="A10" t="inlineStr">
        <is>
          <t>30-Day Follow-Up</t>
        </is>
      </c>
      <c r="B10" t="n">
        <v>2024</v>
      </c>
      <c r="C10" t="inlineStr">
        <is>
          <t>Medicaid (Title XIX), Title XXI-funded Medicaid Expansion CHIP</t>
        </is>
      </c>
      <c r="D10" t="inlineStr">
        <is>
          <t>Administrative</t>
        </is>
      </c>
      <c r="E10" t="inlineStr">
        <is>
          <t>Percentage of Emergency Department (ED) Visits for Substance Use Disorder (SUD) or Drug Overdose with a Follow-Up Visit Within 30 Days of the ED Visit: Ages 13 to 17</t>
        </is>
      </c>
      <c r="F10" t="inlineStr">
        <is>
          <t>Higher values are better</t>
        </is>
      </c>
      <c r="G10" t="inlineStr">
        <is>
          <t>Mathematica analysis of the Quality Measure Reporting (QMR) system reports for the 2024 Core Set as of April 28, 2025.</t>
        </is>
      </c>
      <c r="H1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0" s="4" t="n">
        <v>0.242</v>
      </c>
      <c r="J10" s="4" t="n">
        <v>0.33</v>
      </c>
      <c r="K10" s="4" t="n">
        <v>0.603</v>
      </c>
      <c r="L10" s="4" t="n">
        <v>0.029</v>
      </c>
      <c r="M10" s="4" t="n">
        <v>0.275</v>
      </c>
      <c r="N10" s="4" t="n">
        <v>0.421</v>
      </c>
    </row>
    <row r="11">
      <c r="A11" t="inlineStr">
        <is>
          <t>30-Day Follow-Up</t>
        </is>
      </c>
      <c r="B11" t="n">
        <v>2024</v>
      </c>
      <c r="C11" t="inlineStr">
        <is>
          <t>Separate CHIP (Title XXI)</t>
        </is>
      </c>
      <c r="D11" t="inlineStr">
        <is>
          <t>Administrative</t>
        </is>
      </c>
      <c r="E11" t="inlineStr">
        <is>
          <t>Percentage of Emergency Department (ED) Visits for Substance Use Disorder (SUD) or Drug Overdose with a Follow-Up Visit Within 30 Days of the ED Visit: Ages 13 to 17</t>
        </is>
      </c>
      <c r="F11" t="inlineStr">
        <is>
          <t>Higher values are better</t>
        </is>
      </c>
      <c r="G11" t="inlineStr">
        <is>
          <t>Mathematica analysis of the Quality Measure Reporting (QMR) system reports for the 2024 Core Set as of April 28, 2025.</t>
        </is>
      </c>
      <c r="H11"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t="inlineStr">
        <is>
          <t>Data suppressed</t>
        </is>
      </c>
      <c r="J11" s="4" t="n">
        <v>0.33</v>
      </c>
      <c r="K11" s="4" t="n">
        <v>0.603</v>
      </c>
      <c r="L11" s="4" t="n">
        <v>0.029</v>
      </c>
      <c r="M11" s="4" t="n">
        <v>0.275</v>
      </c>
      <c r="N11" s="4" t="n">
        <v>0.421</v>
      </c>
    </row>
    <row r="12">
      <c r="A12" t="inlineStr">
        <is>
          <t>7-Day Follow-Up</t>
        </is>
      </c>
      <c r="B12" t="n">
        <v>2023</v>
      </c>
      <c r="C12" t="inlineStr">
        <is>
          <t>Medicaid only</t>
        </is>
      </c>
      <c r="D12" t="inlineStr">
        <is>
          <t>Administrative</t>
        </is>
      </c>
      <c r="E12" t="inlineStr">
        <is>
          <t>Percentage of Emergency Department (ED) Visits for Substance Use Disorder (SUD) or Drug Overdose with a Follow-Up Visit Within 7 Days of the ED Visit: Ages 13 to 17</t>
        </is>
      </c>
      <c r="F12" t="inlineStr">
        <is>
          <t>Higher values are better</t>
        </is>
      </c>
      <c r="G12" t="inlineStr">
        <is>
          <t>Mathematica analysis of the Quality Measure Reporting (QMR) system reports for the 2023 Core Set as of May 16, 2024.</t>
        </is>
      </c>
      <c r="H12"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0.151</v>
      </c>
      <c r="J12" s="4" t="n">
        <v>0.228</v>
      </c>
      <c r="K12" s="4" t="n">
        <v>0.54</v>
      </c>
      <c r="L12" s="4" t="n">
        <v>0.11</v>
      </c>
      <c r="M12" s="4" t="n">
        <v>0.195</v>
      </c>
      <c r="N12" s="4" t="n">
        <v>0.283</v>
      </c>
    </row>
    <row r="13">
      <c r="A13" t="inlineStr">
        <is>
          <t>7-Day Follow-Up</t>
        </is>
      </c>
      <c r="B13" t="n">
        <v>2023</v>
      </c>
      <c r="C13" t="inlineStr">
        <is>
          <t>CHIP only</t>
        </is>
      </c>
      <c r="D13" t="inlineStr">
        <is>
          <t>Administrative</t>
        </is>
      </c>
      <c r="E13" t="inlineStr">
        <is>
          <t>Percentage of Emergency Department (ED) Visits for Substance Use Disorder (SUD) or Drug Overdose with a Follow-Up Visit Within 7 Days of the ED Visit: Ages 13 to 17</t>
        </is>
      </c>
      <c r="F13" t="inlineStr">
        <is>
          <t>Higher values are better</t>
        </is>
      </c>
      <c r="G13" t="inlineStr">
        <is>
          <t>Mathematica analysis of the Quality Measure Reporting (QMR) system reports for the 2023 Core Set as of May 16, 2024.</t>
        </is>
      </c>
      <c r="H13"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3" t="inlineStr">
        <is>
          <t>Data suppressed</t>
        </is>
      </c>
      <c r="J13" s="4" t="n">
        <v>0.228</v>
      </c>
      <c r="K13" s="4" t="n">
        <v>0.54</v>
      </c>
      <c r="L13" s="4" t="n">
        <v>0.11</v>
      </c>
      <c r="M13" s="4" t="n">
        <v>0.195</v>
      </c>
      <c r="N13" s="4" t="n">
        <v>0.283</v>
      </c>
    </row>
    <row r="14">
      <c r="A14" t="inlineStr">
        <is>
          <t>7-Day Follow-Up</t>
        </is>
      </c>
      <c r="B14" t="n">
        <v>2024</v>
      </c>
      <c r="C14" t="inlineStr">
        <is>
          <t>Medicaid (Title XIX), Title XXI-funded Medicaid Expansion CHIP, Separate CHIP (Title XXI)</t>
        </is>
      </c>
      <c r="D14" t="inlineStr">
        <is>
          <t>Administrative</t>
        </is>
      </c>
      <c r="E14" t="inlineStr">
        <is>
          <t>Percentage of Emergency Department (ED) Visits for Substance Use Disorder (SUD) or Drug Overdose with a Follow-Up Visit Within 7 Days of the ED Visit: Ages 13 to 17</t>
        </is>
      </c>
      <c r="F14" t="inlineStr">
        <is>
          <t>Higher values are better</t>
        </is>
      </c>
      <c r="G14" t="inlineStr">
        <is>
          <t>Mathematica analysis of the Quality Measure Reporting (QMR) system reports for the 2024 Core Set as of April 28, 2025.</t>
        </is>
      </c>
      <c r="H14" t="inlineStr">
        <is>
          <t>State-specific comments: Rate combines the Medicaid and separate CHIP data reported by the state in the QMR system. See Medicaid and separate CHIP state-specific comments for information about the data reported for each population.</t>
        </is>
      </c>
      <c r="I14" s="4" t="n">
        <v>0.146</v>
      </c>
      <c r="J14" s="4" t="n">
        <v>0.215</v>
      </c>
      <c r="K14" s="4" t="n">
        <v>0.521</v>
      </c>
      <c r="L14" s="4" t="n">
        <v>0.099</v>
      </c>
      <c r="M14" s="4" t="n">
        <v>0.181</v>
      </c>
      <c r="N14" s="4" t="n">
        <v>0.292</v>
      </c>
    </row>
    <row r="15">
      <c r="A15" t="inlineStr">
        <is>
          <t>7-Day Follow-Up</t>
        </is>
      </c>
      <c r="B15" t="n">
        <v>2024</v>
      </c>
      <c r="C15" t="inlineStr">
        <is>
          <t>Medicaid (Title XIX), Title XXI-funded Medicaid Expansion CHIP</t>
        </is>
      </c>
      <c r="D15" t="inlineStr">
        <is>
          <t>Administrative</t>
        </is>
      </c>
      <c r="E15" t="inlineStr">
        <is>
          <t>Percentage of Emergency Department (ED) Visits for Substance Use Disorder (SUD) or Drug Overdose with a Follow-Up Visit Within 7 Days of the ED Visit: Ages 13 to 17</t>
        </is>
      </c>
      <c r="F15" t="inlineStr">
        <is>
          <t>Higher values are better</t>
        </is>
      </c>
      <c r="G15" t="inlineStr">
        <is>
          <t>Mathematica analysis of the Quality Measure Reporting (QMR) system reports for the 2024 Core Set as of April 28, 2025.</t>
        </is>
      </c>
      <c r="H1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s="4" t="n">
        <v>0.146</v>
      </c>
      <c r="J15" s="4" t="n">
        <v>0.215</v>
      </c>
      <c r="K15" s="4" t="n">
        <v>0.521</v>
      </c>
      <c r="L15" s="4" t="n">
        <v>0.099</v>
      </c>
      <c r="M15" s="4" t="n">
        <v>0.181</v>
      </c>
      <c r="N15" s="4" t="n">
        <v>0.292</v>
      </c>
    </row>
    <row r="16">
      <c r="A16" t="inlineStr">
        <is>
          <t>7-Day Follow-Up</t>
        </is>
      </c>
      <c r="B16" t="n">
        <v>2024</v>
      </c>
      <c r="C16" t="inlineStr">
        <is>
          <t>Separate CHIP (Title XXI)</t>
        </is>
      </c>
      <c r="D16" t="inlineStr">
        <is>
          <t>Administrative</t>
        </is>
      </c>
      <c r="E16" t="inlineStr">
        <is>
          <t>Percentage of Emergency Department (ED) Visits for Substance Use Disorder (SUD) or Drug Overdose with a Follow-Up Visit Within 7 Days of the ED Visit: Ages 13 to 17</t>
        </is>
      </c>
      <c r="F16" t="inlineStr">
        <is>
          <t>Higher values are better</t>
        </is>
      </c>
      <c r="G16" t="inlineStr">
        <is>
          <t>Mathematica analysis of the Quality Measure Reporting (QMR) system reports for the 2024 Core Set as of April 28, 2025.</t>
        </is>
      </c>
      <c r="H16"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6" t="inlineStr">
        <is>
          <t>Data suppressed</t>
        </is>
      </c>
      <c r="J16" s="4" t="n">
        <v>0.215</v>
      </c>
      <c r="K16" s="4" t="n">
        <v>0.521</v>
      </c>
      <c r="L16" s="4" t="n">
        <v>0.099</v>
      </c>
      <c r="M16" s="4" t="n">
        <v>0.181</v>
      </c>
      <c r="N16" s="4" t="n">
        <v>0.292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18" customWidth="1" min="1" max="1"/>
    <col width="13" customWidth="1" min="2" max="2"/>
    <col width="60" customWidth="1" min="3" max="3"/>
    <col width="16" customWidth="1" min="4" max="4"/>
    <col width="60" customWidth="1" min="5" max="5"/>
    <col width="26" customWidth="1" min="6" max="6"/>
    <col width="60" customWidth="1" min="7" max="7"/>
    <col width="60" customWidth="1" min="8" max="8"/>
    <col width="1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Emergency Department Visit for Substance Use: Age 18 and Older (FUA-AD)</t>
        </is>
      </c>
    </row>
    <row r="2">
      <c r="A2" t="inlineStr">
        <is>
          <t>30-Day Follow-Up: Due to data source or specification changes, comparisons should only be made within the following Core Set Years: 2021-2022, 2023-2024. See measure information tab for more information.</t>
        </is>
      </c>
      <c r="B2" t="inlineStr"/>
    </row>
    <row r="3">
      <c r="A3" t="inlineStr">
        <is>
          <t>7-Day Follow-Up: Due to data source or specification changes, comparisons should only be made within the following Core Set Years: 2021-2022, 2023-2024. See measure information tab for more information.</t>
        </is>
      </c>
      <c r="B3" t="inlineStr"/>
    </row>
    <row r="4"/>
    <row r="5">
      <c r="A5" s="1" t="inlineStr">
        <is>
          <t>Rate</t>
        </is>
      </c>
      <c r="B5" s="1" t="inlineStr">
        <is>
          <t>Data Period</t>
        </is>
      </c>
      <c r="C5" s="1" t="inlineStr">
        <is>
          <t>Population</t>
        </is>
      </c>
      <c r="D5" s="1" t="inlineStr">
        <is>
          <t>Methodology</t>
        </is>
      </c>
      <c r="E5" s="1" t="inlineStr">
        <is>
          <t>Value Type</t>
        </is>
      </c>
      <c r="F5" s="1" t="inlineStr">
        <is>
          <t>Value Directionality</t>
        </is>
      </c>
      <c r="G5" s="1" t="inlineStr">
        <is>
          <t>Analysis Source</t>
        </is>
      </c>
      <c r="H5" s="1" t="inlineStr">
        <is>
          <t>Notes</t>
        </is>
      </c>
      <c r="I5" s="1" t="inlineStr">
        <is>
          <t>Value</t>
        </is>
      </c>
      <c r="J5" s="1" t="inlineStr">
        <is>
          <t>Median</t>
        </is>
      </c>
      <c r="K5" s="1" t="inlineStr">
        <is>
          <t>Maximum</t>
        </is>
      </c>
      <c r="L5" s="1" t="inlineStr">
        <is>
          <t>Minimum</t>
        </is>
      </c>
      <c r="M5" s="1" t="inlineStr">
        <is>
          <t>First quartile</t>
        </is>
      </c>
      <c r="N5" s="1" t="inlineStr">
        <is>
          <t>Third quartile</t>
        </is>
      </c>
    </row>
    <row r="6">
      <c r="A6" t="inlineStr">
        <is>
          <t>30-Day Follow-Up</t>
        </is>
      </c>
      <c r="B6" t="n">
        <v>2021</v>
      </c>
      <c r="C6" t="inlineStr">
        <is>
          <t>Medicaid</t>
        </is>
      </c>
      <c r="D6" t="inlineStr">
        <is>
          <t>Administrative</t>
        </is>
      </c>
      <c r="E6" t="inlineStr">
        <is>
          <t>Percentage of Emergency Department (ED) Visits for Alcohol and Other Drug (AOD) Abuse or Dependence with a Follow-Up Visit for AOD Abuse or Dependence Within 30 Days of the ED Visit: Ages 18 to 64</t>
        </is>
      </c>
      <c r="F6" t="inlineStr">
        <is>
          <t>Higher values are better</t>
        </is>
      </c>
      <c r="G6" t="inlineStr">
        <is>
          <t>Mathematica analysis of the Quality Measure Reporting (QMR) system reports for the FFY 2021 reporting cycle as of June 1, 2023.</t>
        </is>
      </c>
      <c r="H6"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0.053</v>
      </c>
      <c r="J6" s="4" t="n">
        <v>0.223</v>
      </c>
      <c r="K6" s="4" t="n">
        <v>0.571</v>
      </c>
      <c r="L6" s="4" t="n">
        <v>0.05</v>
      </c>
      <c r="M6" s="4" t="n">
        <v>0.141</v>
      </c>
      <c r="N6" s="4" t="n">
        <v>0.303</v>
      </c>
    </row>
    <row r="7">
      <c r="A7" t="inlineStr">
        <is>
          <t>30-Day Follow-Up</t>
        </is>
      </c>
      <c r="B7" t="n">
        <v>2022</v>
      </c>
      <c r="C7" t="inlineStr">
        <is>
          <t>Medicaid</t>
        </is>
      </c>
      <c r="D7" t="inlineStr">
        <is>
          <t>Administrative</t>
        </is>
      </c>
      <c r="E7" t="inlineStr">
        <is>
          <t>Percentage of Emergency Department (ED) Visits for Alcohol and Other Drug (AOD) Abuse or Dependence with a Follow-Up Visit for AOD Abuse or Dependence Within 30 Days of the ED Visit: Ages 18 to 64</t>
        </is>
      </c>
      <c r="F7" t="inlineStr">
        <is>
          <t>Higher values are better</t>
        </is>
      </c>
      <c r="G7" t="inlineStr">
        <is>
          <t>Mathematica analysis of the Quality Measure Reporting (QMR) system reports for the FFY 2022 reporting cycle as of June 1, 2023.</t>
        </is>
      </c>
      <c r="H7"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0.058</v>
      </c>
      <c r="J7" s="4" t="n">
        <v>0.238</v>
      </c>
      <c r="K7" s="4" t="n">
        <v>0.598</v>
      </c>
      <c r="L7" s="4" t="n">
        <v>0.058</v>
      </c>
      <c r="M7" s="4" t="n">
        <v>0.155</v>
      </c>
      <c r="N7" s="4" t="n">
        <v>0.29</v>
      </c>
    </row>
    <row r="8">
      <c r="A8" t="inlineStr">
        <is>
          <t>30-Day Follow-Up</t>
        </is>
      </c>
      <c r="B8" t="n">
        <v>2023</v>
      </c>
      <c r="C8" t="inlineStr">
        <is>
          <t>Medicaid</t>
        </is>
      </c>
      <c r="D8" t="inlineStr">
        <is>
          <t>Administrative</t>
        </is>
      </c>
      <c r="E8" t="inlineStr">
        <is>
          <t>Percentage of Emergency Department (ED) Visits for Substance Use Disorder (SUD) or Drug Overdose with a Follow-Up Visit Within 30 Days of the ED Visit: Ages 18 to 64</t>
        </is>
      </c>
      <c r="F8" t="inlineStr">
        <is>
          <t>Higher values are better</t>
        </is>
      </c>
      <c r="G8" t="inlineStr">
        <is>
          <t>Mathematica analysis of the Quality Measure Reporting (QMR) system reports for the 2023 Core Set as of May 16, 2024.</t>
        </is>
      </c>
      <c r="H8"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0.258</v>
      </c>
      <c r="J8" s="4" t="n">
        <v>0.398</v>
      </c>
      <c r="K8" s="4" t="n">
        <v>0.663</v>
      </c>
      <c r="L8" s="4" t="n">
        <v>0.039</v>
      </c>
      <c r="M8" s="4" t="n">
        <v>0.291</v>
      </c>
      <c r="N8" s="4" t="n">
        <v>0.492</v>
      </c>
    </row>
    <row r="9">
      <c r="A9" t="inlineStr">
        <is>
          <t>30-Day Follow-Up</t>
        </is>
      </c>
      <c r="B9" t="n">
        <v>2024</v>
      </c>
      <c r="C9" t="inlineStr">
        <is>
          <t>Medicaid (Title XIX), Title XXI-funded Medicaid Expansion CHIP, Separate CHIP (Title XXI)</t>
        </is>
      </c>
      <c r="D9" t="inlineStr">
        <is>
          <t>Administrative</t>
        </is>
      </c>
      <c r="E9" t="inlineStr">
        <is>
          <t>Percentage of Emergency Department (ED) Visits for Substance Use Disorder (SUD) or Drug Overdose with a Follow-Up Visit Within 30 Days of the ED Visit: Ages 18 to 64</t>
        </is>
      </c>
      <c r="F9" t="inlineStr">
        <is>
          <t>Higher values are better</t>
        </is>
      </c>
      <c r="G9" t="inlineStr">
        <is>
          <t>Mathematica analysis of the Quality Measure Reporting (QMR) system reports for the 2024 Core Set as of April 28, 2025.</t>
        </is>
      </c>
      <c r="H9" t="inlineStr">
        <is>
          <t>State-specific comments: Rate combines the Medicaid and separate CHIP data reported by the state in the QMR system. See Medicaid and separate CHIP state-specific comments for information about the data reported for each population.</t>
        </is>
      </c>
      <c r="I9" s="4" t="n">
        <v>0.233</v>
      </c>
      <c r="J9" s="4" t="n">
        <v>0.376</v>
      </c>
      <c r="K9" s="4" t="n">
        <v>0.677</v>
      </c>
      <c r="L9" s="4" t="n">
        <v>0.01</v>
      </c>
      <c r="M9" s="4" t="n">
        <v>0.293</v>
      </c>
      <c r="N9" s="4" t="n">
        <v>0.445</v>
      </c>
    </row>
    <row r="10">
      <c r="A10" t="inlineStr">
        <is>
          <t>30-Day Follow-Up</t>
        </is>
      </c>
      <c r="B10" t="n">
        <v>2024</v>
      </c>
      <c r="C10" t="inlineStr">
        <is>
          <t>Medicaid (Title XIX), Title XXI-funded Medicaid Expansion CHIP</t>
        </is>
      </c>
      <c r="D10" t="inlineStr">
        <is>
          <t>Administrative</t>
        </is>
      </c>
      <c r="E10" t="inlineStr">
        <is>
          <t>Percentage of Emergency Department (ED) Visits for Substance Use Disorder (SUD) or Drug Overdose with a Follow-Up Visit Within 30 Days of the ED Visit: Ages 18 to 64</t>
        </is>
      </c>
      <c r="F10" t="inlineStr">
        <is>
          <t>Higher values are better</t>
        </is>
      </c>
      <c r="G10" t="inlineStr">
        <is>
          <t>Mathematica analysis of the Quality Measure Reporting (QMR) system reports for the 2024 Core Set as of April 28, 2025.</t>
        </is>
      </c>
      <c r="H1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0" s="4" t="n">
        <v>0.233</v>
      </c>
      <c r="J10" s="4" t="n">
        <v>0.376</v>
      </c>
      <c r="K10" s="4" t="n">
        <v>0.677</v>
      </c>
      <c r="L10" s="4" t="n">
        <v>0.01</v>
      </c>
      <c r="M10" s="4" t="n">
        <v>0.293</v>
      </c>
      <c r="N10" s="4" t="n">
        <v>0.445</v>
      </c>
    </row>
    <row r="11">
      <c r="A11" t="inlineStr">
        <is>
          <t>30-Day Follow-Up</t>
        </is>
      </c>
      <c r="B11" t="n">
        <v>2024</v>
      </c>
      <c r="C11" t="inlineStr">
        <is>
          <t>Separate CHIP (Title XXI)</t>
        </is>
      </c>
      <c r="D11" t="inlineStr">
        <is>
          <t>Administrative</t>
        </is>
      </c>
      <c r="E11" t="inlineStr">
        <is>
          <t>Percentage of Emergency Department (ED) Visits for Substance Use Disorder (SUD) or Drug Overdose with a Follow-Up Visit Within 30 Days of the ED Visit: Ages 18 to 64</t>
        </is>
      </c>
      <c r="F11" t="inlineStr">
        <is>
          <t>Higher values are better</t>
        </is>
      </c>
      <c r="G11" t="inlineStr">
        <is>
          <t>Mathematica analysis of the Quality Measure Reporting (QMR) system reports for the 2024 Core Set as of April 28, 2025.</t>
        </is>
      </c>
      <c r="H11"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t="inlineStr">
        <is>
          <t>Data suppressed</t>
        </is>
      </c>
      <c r="J11" s="4" t="n">
        <v>0.376</v>
      </c>
      <c r="K11" s="4" t="n">
        <v>0.677</v>
      </c>
      <c r="L11" s="4" t="n">
        <v>0.01</v>
      </c>
      <c r="M11" s="4" t="n">
        <v>0.293</v>
      </c>
      <c r="N11" s="4" t="n">
        <v>0.445</v>
      </c>
    </row>
    <row r="12">
      <c r="A12" t="inlineStr">
        <is>
          <t>7-Day Follow-Up</t>
        </is>
      </c>
      <c r="B12" t="n">
        <v>2021</v>
      </c>
      <c r="C12" t="inlineStr">
        <is>
          <t>Medicaid</t>
        </is>
      </c>
      <c r="D12" t="inlineStr">
        <is>
          <t>Administrative</t>
        </is>
      </c>
      <c r="E12" t="inlineStr">
        <is>
          <t>Percentage of Emergency Department (ED) Visits for Alcohol and Other Drug (AOD) Abuse or Dependence with a Follow-Up Visit for AOD Abuse or Dependence Within 7 Days of the ED Visit: Ages 18 to 64</t>
        </is>
      </c>
      <c r="F12" t="inlineStr">
        <is>
          <t>Higher values are better</t>
        </is>
      </c>
      <c r="G12" t="inlineStr">
        <is>
          <t>Mathematica analysis of the Quality Measure Reporting (QMR) system reports for the FFY 2021 reporting cycle as of June 1, 2023.</t>
        </is>
      </c>
      <c r="H12"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0.034</v>
      </c>
      <c r="J12" s="4" t="n">
        <v>0.153</v>
      </c>
      <c r="K12" s="4" t="n">
        <v>0.495</v>
      </c>
      <c r="L12" s="4" t="n">
        <v>0.027</v>
      </c>
      <c r="M12" s="4" t="n">
        <v>0.079</v>
      </c>
      <c r="N12" s="4" t="n">
        <v>0.219</v>
      </c>
    </row>
    <row r="13">
      <c r="A13" t="inlineStr">
        <is>
          <t>7-Day Follow-Up</t>
        </is>
      </c>
      <c r="B13" t="n">
        <v>2022</v>
      </c>
      <c r="C13" t="inlineStr">
        <is>
          <t>Medicaid</t>
        </is>
      </c>
      <c r="D13" t="inlineStr">
        <is>
          <t>Administrative</t>
        </is>
      </c>
      <c r="E13" t="inlineStr">
        <is>
          <t>Percentage of Emergency Department (ED) Visits for Alcohol and Other Drug (AOD) Abuse or Dependence with a Follow-Up Visit for AOD Abuse or Dependence Within 7 Days of the ED Visit: Ages 18 to 64</t>
        </is>
      </c>
      <c r="F13" t="inlineStr">
        <is>
          <t>Higher values are better</t>
        </is>
      </c>
      <c r="G13" t="inlineStr">
        <is>
          <t>Mathematica analysis of the Quality Measure Reporting (QMR) system reports for the FFY 2022 reporting cycle as of June 1, 2023.</t>
        </is>
      </c>
      <c r="H13"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3" s="4" t="n">
        <v>0.035</v>
      </c>
      <c r="J13" s="4" t="n">
        <v>0.155</v>
      </c>
      <c r="K13" s="4" t="n">
        <v>0.543</v>
      </c>
      <c r="L13" s="4" t="n">
        <v>0.033</v>
      </c>
      <c r="M13" s="4" t="n">
        <v>0.109</v>
      </c>
      <c r="N13" s="4" t="n">
        <v>0.191</v>
      </c>
    </row>
    <row r="14">
      <c r="A14" t="inlineStr">
        <is>
          <t>7-Day Follow-Up</t>
        </is>
      </c>
      <c r="B14" t="n">
        <v>2023</v>
      </c>
      <c r="C14" t="inlineStr">
        <is>
          <t>Medicaid</t>
        </is>
      </c>
      <c r="D14" t="inlineStr">
        <is>
          <t>Administrative</t>
        </is>
      </c>
      <c r="E14" t="inlineStr">
        <is>
          <t>Percentage of Emergency Department (ED) Visits for Substance Use Disorder (SUD) or Drug Overdose with a Follow-Up Visit Within 7 Days of the ED Visit: Ages 18 to 64</t>
        </is>
      </c>
      <c r="F14" t="inlineStr">
        <is>
          <t>Higher values are better</t>
        </is>
      </c>
      <c r="G14" t="inlineStr">
        <is>
          <t>Mathematica analysis of the Quality Measure Reporting (QMR) system reports for the 2023 Core Set as of May 16, 2024.</t>
        </is>
      </c>
      <c r="H14"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s="4" t="n">
        <v>0.145</v>
      </c>
      <c r="J14" s="4" t="n">
        <v>0.282</v>
      </c>
      <c r="K14" s="4" t="n">
        <v>0.572</v>
      </c>
      <c r="L14" s="4" t="n">
        <v>0.03</v>
      </c>
      <c r="M14" s="4" t="n">
        <v>0.173</v>
      </c>
      <c r="N14" s="4" t="n">
        <v>0.344</v>
      </c>
    </row>
    <row r="15">
      <c r="A15" t="inlineStr">
        <is>
          <t>7-Day Follow-Up</t>
        </is>
      </c>
      <c r="B15" t="n">
        <v>2024</v>
      </c>
      <c r="C15" t="inlineStr">
        <is>
          <t>Medicaid (Title XIX), Title XXI-funded Medicaid Expansion CHIP, Separate CHIP (Title XXI)</t>
        </is>
      </c>
      <c r="D15" t="inlineStr">
        <is>
          <t>Administrative</t>
        </is>
      </c>
      <c r="E15" t="inlineStr">
        <is>
          <t>Percentage of Emergency Department (ED) Visits for Substance Use Disorder (SUD) or Drug Overdose with a Follow-Up Visit Within 7 Days of the ED Visit: Ages 18 to 64</t>
        </is>
      </c>
      <c r="F15" t="inlineStr">
        <is>
          <t>Higher values are better</t>
        </is>
      </c>
      <c r="G15" t="inlineStr">
        <is>
          <t>Mathematica analysis of the Quality Measure Reporting (QMR) system reports for the 2024 Core Set as of April 28, 2025.</t>
        </is>
      </c>
      <c r="H15" t="inlineStr">
        <is>
          <t>State-specific comments: Rate combines the Medicaid and separate CHIP data reported by the state in the QMR system. See Medicaid and separate CHIP state-specific comments for information about the data reported for each population.</t>
        </is>
      </c>
      <c r="I15" s="4" t="n">
        <v>0.133</v>
      </c>
      <c r="J15" s="4" t="n">
        <v>0.258</v>
      </c>
      <c r="K15" s="4" t="n">
        <v>0.581</v>
      </c>
      <c r="L15" s="4" t="n">
        <v>0.004</v>
      </c>
      <c r="M15" s="4" t="n">
        <v>0.184</v>
      </c>
      <c r="N15" s="4" t="n">
        <v>0.324</v>
      </c>
    </row>
    <row r="16">
      <c r="A16" t="inlineStr">
        <is>
          <t>7-Day Follow-Up</t>
        </is>
      </c>
      <c r="B16" t="n">
        <v>2024</v>
      </c>
      <c r="C16" t="inlineStr">
        <is>
          <t>Medicaid (Title XIX), Title XXI-funded Medicaid Expansion CHIP</t>
        </is>
      </c>
      <c r="D16" t="inlineStr">
        <is>
          <t>Administrative</t>
        </is>
      </c>
      <c r="E16" t="inlineStr">
        <is>
          <t>Percentage of Emergency Department (ED) Visits for Substance Use Disorder (SUD) or Drug Overdose with a Follow-Up Visit Within 7 Days of the ED Visit: Ages 18 to 64</t>
        </is>
      </c>
      <c r="F16" t="inlineStr">
        <is>
          <t>Higher values are better</t>
        </is>
      </c>
      <c r="G16" t="inlineStr">
        <is>
          <t>Mathematica analysis of the Quality Measure Reporting (QMR) system reports for the 2024 Core Set as of April 28, 2025.</t>
        </is>
      </c>
      <c r="H1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6" s="4" t="n">
        <v>0.133</v>
      </c>
      <c r="J16" s="4" t="n">
        <v>0.258</v>
      </c>
      <c r="K16" s="4" t="n">
        <v>0.581</v>
      </c>
      <c r="L16" s="4" t="n">
        <v>0.004</v>
      </c>
      <c r="M16" s="4" t="n">
        <v>0.184</v>
      </c>
      <c r="N16" s="4" t="n">
        <v>0.324</v>
      </c>
    </row>
    <row r="17">
      <c r="A17" t="inlineStr">
        <is>
          <t>7-Day Follow-Up</t>
        </is>
      </c>
      <c r="B17" t="n">
        <v>2024</v>
      </c>
      <c r="C17" t="inlineStr">
        <is>
          <t>Separate CHIP (Title XXI)</t>
        </is>
      </c>
      <c r="D17" t="inlineStr">
        <is>
          <t>Administrative</t>
        </is>
      </c>
      <c r="E17" t="inlineStr">
        <is>
          <t>Percentage of Emergency Department (ED) Visits for Substance Use Disorder (SUD) or Drug Overdose with a Follow-Up Visit Within 7 Days of the ED Visit: Ages 18 to 64</t>
        </is>
      </c>
      <c r="F17" t="inlineStr">
        <is>
          <t>Higher values are better</t>
        </is>
      </c>
      <c r="G17" t="inlineStr">
        <is>
          <t>Mathematica analysis of the Quality Measure Reporting (QMR) system reports for the 2024 Core Set as of April 28, 2025.</t>
        </is>
      </c>
      <c r="H17"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7" t="inlineStr">
        <is>
          <t>Data suppressed</t>
        </is>
      </c>
      <c r="J17" s="4" t="n">
        <v>0.258</v>
      </c>
      <c r="K17" s="4" t="n">
        <v>0.581</v>
      </c>
      <c r="L17" s="4" t="n">
        <v>0.004</v>
      </c>
      <c r="M17" s="4" t="n">
        <v>0.184</v>
      </c>
      <c r="N17" s="4" t="n">
        <v>0.324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18"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Hospitalization for Mental Illness: Ages 6 to 17 (FUH-CH)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30-Day Follow-Up</t>
        </is>
      </c>
      <c r="B4" t="n">
        <v>2021</v>
      </c>
      <c r="C4" t="inlineStr">
        <is>
          <t>Medicaid only</t>
        </is>
      </c>
      <c r="D4" t="inlineStr">
        <is>
          <t>Administrative</t>
        </is>
      </c>
      <c r="E4" t="inlineStr">
        <is>
          <t>Percentage of Discharges for Children Hospitalized for Treatment of Mental Illness or Intentional Self-Harm with a Follow-Up Visit Within 30 Days after Discharge: Ages 6 to 17</t>
        </is>
      </c>
      <c r="F4" t="inlineStr">
        <is>
          <t>Higher values are better</t>
        </is>
      </c>
      <c r="G4" t="inlineStr">
        <is>
          <t>Mathematica analysis of the Quality Measure Reporting (QMR) system reports for the FFY 2021 reporting cycle as of June 1, 2023.</t>
        </is>
      </c>
      <c r="H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0.708</v>
      </c>
      <c r="J4" s="4" t="n">
        <v>0.715</v>
      </c>
      <c r="K4" s="4" t="n">
        <v>0.868</v>
      </c>
      <c r="L4" s="4" t="n">
        <v>0.325</v>
      </c>
      <c r="M4" s="4" t="n">
        <v>0.642</v>
      </c>
      <c r="N4" s="4" t="n">
        <v>0.793</v>
      </c>
    </row>
    <row r="5">
      <c r="A5" t="inlineStr">
        <is>
          <t>30-Day Follow-Up</t>
        </is>
      </c>
      <c r="B5" t="n">
        <v>2021</v>
      </c>
      <c r="C5" t="inlineStr">
        <is>
          <t>CHIP only</t>
        </is>
      </c>
      <c r="D5" t="inlineStr">
        <is>
          <t>Administrative</t>
        </is>
      </c>
      <c r="E5" t="inlineStr">
        <is>
          <t>Percentage of Discharges for Children Hospitalized for Treatment of Mental Illness or Intentional Self-Harm with a Follow-Up Visit Within 30 Days after Discharge: Ages 6 to 17</t>
        </is>
      </c>
      <c r="F5" t="inlineStr">
        <is>
          <t>Higher values are better</t>
        </is>
      </c>
      <c r="G5" t="inlineStr">
        <is>
          <t>Mathematica analysis of the Quality Measure Reporting (QMR) system reports for the FFY 2021 reporting cycle as of June 1, 2023.</t>
        </is>
      </c>
      <c r="H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0.669</v>
      </c>
      <c r="J5" s="4" t="n">
        <v>0.715</v>
      </c>
      <c r="K5" s="4" t="n">
        <v>0.868</v>
      </c>
      <c r="L5" s="4" t="n">
        <v>0.325</v>
      </c>
      <c r="M5" s="4" t="n">
        <v>0.642</v>
      </c>
      <c r="N5" s="4" t="n">
        <v>0.793</v>
      </c>
    </row>
    <row r="6">
      <c r="A6" t="inlineStr">
        <is>
          <t>30-Day Follow-Up</t>
        </is>
      </c>
      <c r="B6" t="n">
        <v>2022</v>
      </c>
      <c r="C6" t="inlineStr">
        <is>
          <t>Medicaid only</t>
        </is>
      </c>
      <c r="D6" t="inlineStr">
        <is>
          <t>Administrative</t>
        </is>
      </c>
      <c r="E6" t="inlineStr">
        <is>
          <t>Percentage of Discharges for Children Hospitalized for Treatment of Mental Illness or Intentional Self-Harm with a Follow-Up Visit Within 30 Days after Discharge: Ages 6 to 17</t>
        </is>
      </c>
      <c r="F6" t="inlineStr">
        <is>
          <t>Higher values are better</t>
        </is>
      </c>
      <c r="G6" t="inlineStr">
        <is>
          <t>Mathematica analysis of the Quality Measure Reporting (QMR) system reports for the FFY 2022 reporting cycle as of June 1, 2023.</t>
        </is>
      </c>
      <c r="H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0.6850000000000001</v>
      </c>
      <c r="J6" s="4" t="n">
        <v>0.704</v>
      </c>
      <c r="K6" s="4" t="n">
        <v>0.88</v>
      </c>
      <c r="L6" s="4" t="n">
        <v>0.168</v>
      </c>
      <c r="M6" s="4" t="n">
        <v>0.621</v>
      </c>
      <c r="N6" s="4" t="n">
        <v>0.796</v>
      </c>
    </row>
    <row r="7">
      <c r="A7" t="inlineStr">
        <is>
          <t>30-Day Follow-Up</t>
        </is>
      </c>
      <c r="B7" t="n">
        <v>2022</v>
      </c>
      <c r="C7" t="inlineStr">
        <is>
          <t>CHIP only</t>
        </is>
      </c>
      <c r="D7" t="inlineStr">
        <is>
          <t>Administrative</t>
        </is>
      </c>
      <c r="E7" t="inlineStr">
        <is>
          <t>Percentage of Discharges for Children Hospitalized for Treatment of Mental Illness or Intentional Self-Harm with a Follow-Up Visit Within 30 Days after Discharge: Ages 6 to 17</t>
        </is>
      </c>
      <c r="F7" t="inlineStr">
        <is>
          <t>Higher values are better</t>
        </is>
      </c>
      <c r="G7" t="inlineStr">
        <is>
          <t>Mathematica analysis of the Quality Measure Reporting (QMR) system reports for the FFY 2022 reporting cycle as of June 1, 2023.</t>
        </is>
      </c>
      <c r="H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0.6899999999999999</v>
      </c>
      <c r="J7" s="4" t="n">
        <v>0.704</v>
      </c>
      <c r="K7" s="4" t="n">
        <v>0.88</v>
      </c>
      <c r="L7" s="4" t="n">
        <v>0.168</v>
      </c>
      <c r="M7" s="4" t="n">
        <v>0.621</v>
      </c>
      <c r="N7" s="4" t="n">
        <v>0.796</v>
      </c>
    </row>
    <row r="8">
      <c r="A8" t="inlineStr">
        <is>
          <t>30-Day Follow-Up</t>
        </is>
      </c>
      <c r="B8" t="n">
        <v>2023</v>
      </c>
      <c r="C8" t="inlineStr">
        <is>
          <t>Medicaid only</t>
        </is>
      </c>
      <c r="D8" t="inlineStr">
        <is>
          <t>Administrative</t>
        </is>
      </c>
      <c r="E8" t="inlineStr">
        <is>
          <t>Percentage of Discharges for Children Hospitalized for Treatment of Mental Illness or Intentional Self-Harm with a Follow-Up Visit Within 30 Days after Discharge: Ages 6 to 17</t>
        </is>
      </c>
      <c r="F8" t="inlineStr">
        <is>
          <t>Higher values are better</t>
        </is>
      </c>
      <c r="G8" t="inlineStr">
        <is>
          <t>Mathematica analysis of the Quality Measure Reporting (QMR) system reports for the 2023 Core Set as of May 16, 2024.</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0.678</v>
      </c>
      <c r="J8" s="4" t="n">
        <v>0.721</v>
      </c>
      <c r="K8" s="4" t="n">
        <v>0.862</v>
      </c>
      <c r="L8" s="4" t="n">
        <v>0.374</v>
      </c>
      <c r="M8" s="4" t="n">
        <v>0.626</v>
      </c>
      <c r="N8" s="4" t="n">
        <v>0.782</v>
      </c>
    </row>
    <row r="9">
      <c r="A9" t="inlineStr">
        <is>
          <t>30-Day Follow-Up</t>
        </is>
      </c>
      <c r="B9" t="n">
        <v>2023</v>
      </c>
      <c r="C9" t="inlineStr">
        <is>
          <t>CHIP only</t>
        </is>
      </c>
      <c r="D9" t="inlineStr">
        <is>
          <t>Administrative</t>
        </is>
      </c>
      <c r="E9" t="inlineStr">
        <is>
          <t>Percentage of Discharges for Children Hospitalized for Treatment of Mental Illness or Intentional Self-Harm with a Follow-Up Visit Within 30 Days after Discharge: Ages 6 to 17</t>
        </is>
      </c>
      <c r="F9" t="inlineStr">
        <is>
          <t>Higher values are better</t>
        </is>
      </c>
      <c r="G9" t="inlineStr">
        <is>
          <t>Mathematica analysis of the Quality Measure Reporting (QMR) system reports for the 2023 Core Set as of May 16, 2024.</t>
        </is>
      </c>
      <c r="H9"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s="4" t="n">
        <v>0.679</v>
      </c>
      <c r="J9" s="4" t="n">
        <v>0.721</v>
      </c>
      <c r="K9" s="4" t="n">
        <v>0.862</v>
      </c>
      <c r="L9" s="4" t="n">
        <v>0.374</v>
      </c>
      <c r="M9" s="4" t="n">
        <v>0.626</v>
      </c>
      <c r="N9" s="4" t="n">
        <v>0.782</v>
      </c>
    </row>
    <row r="10">
      <c r="A10" t="inlineStr">
        <is>
          <t>30-Day Follow-Up</t>
        </is>
      </c>
      <c r="B10" t="n">
        <v>2024</v>
      </c>
      <c r="C10" t="inlineStr">
        <is>
          <t>Medicaid (Title XIX), Title XXI-funded Medicaid Expansion CHIP, Separate CHIP (Title XXI)</t>
        </is>
      </c>
      <c r="D10" t="inlineStr">
        <is>
          <t>Administrative</t>
        </is>
      </c>
      <c r="E10" t="inlineStr">
        <is>
          <t>Percentage of Discharges for Children Hospitalized for Treatment of Mental Illness or Intentional Self-Harm with a Follow-Up Visit Within 30 Days after Discharge: Ages 6 to 17</t>
        </is>
      </c>
      <c r="F10" t="inlineStr">
        <is>
          <t>Higher values are better</t>
        </is>
      </c>
      <c r="G10" t="inlineStr">
        <is>
          <t>Mathematica analysis of the Quality Measure Reporting (QMR) system reports for the 2024 Core Set as of April 28, 2025.</t>
        </is>
      </c>
      <c r="H10" t="inlineStr">
        <is>
          <t>State-specific comments: Rate combines the Medicaid and separate CHIP data reported by the state in the QMR system. See Medicaid and separate CHIP state-specific comments for information about the data reported for each population.</t>
        </is>
      </c>
      <c r="I10" s="4" t="n">
        <v>0.666</v>
      </c>
      <c r="J10" s="4" t="n">
        <v>0.7</v>
      </c>
      <c r="K10" s="4" t="n">
        <v>0.873</v>
      </c>
      <c r="L10" s="4" t="n">
        <v>0.357</v>
      </c>
      <c r="M10" s="4" t="n">
        <v>0.628</v>
      </c>
      <c r="N10" s="4" t="n">
        <v>0.767</v>
      </c>
    </row>
    <row r="11">
      <c r="A11" t="inlineStr">
        <is>
          <t>30-Day Follow-Up</t>
        </is>
      </c>
      <c r="B11" t="n">
        <v>2024</v>
      </c>
      <c r="C11" t="inlineStr">
        <is>
          <t>Medicaid (Title XIX), Title XXI-funded Medicaid Expansion CHIP</t>
        </is>
      </c>
      <c r="D11" t="inlineStr">
        <is>
          <t>Administrative</t>
        </is>
      </c>
      <c r="E11" t="inlineStr">
        <is>
          <t>Percentage of Discharges for Children Hospitalized for Treatment of Mental Illness or Intentional Self-Harm with a Follow-Up Visit Within 30 Days after Discharge: Ages 6 to 17</t>
        </is>
      </c>
      <c r="F11" t="inlineStr">
        <is>
          <t>Higher values are better</t>
        </is>
      </c>
      <c r="G11" t="inlineStr">
        <is>
          <t>Mathematica analysis of the Quality Measure Reporting (QMR) system reports for the 2024 Core Set as of April 28, 2025.</t>
        </is>
      </c>
      <c r="H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0.666</v>
      </c>
      <c r="J11" s="4" t="n">
        <v>0.7</v>
      </c>
      <c r="K11" s="4" t="n">
        <v>0.873</v>
      </c>
      <c r="L11" s="4" t="n">
        <v>0.357</v>
      </c>
      <c r="M11" s="4" t="n">
        <v>0.628</v>
      </c>
      <c r="N11" s="4" t="n">
        <v>0.767</v>
      </c>
    </row>
    <row r="12">
      <c r="A12" t="inlineStr">
        <is>
          <t>30-Day Follow-Up</t>
        </is>
      </c>
      <c r="B12" t="n">
        <v>2024</v>
      </c>
      <c r="C12" t="inlineStr">
        <is>
          <t>Separate CHIP (Title XXI)</t>
        </is>
      </c>
      <c r="D12" t="inlineStr">
        <is>
          <t>Administrative</t>
        </is>
      </c>
      <c r="E12" t="inlineStr">
        <is>
          <t>Percentage of Discharges for Children Hospitalized for Treatment of Mental Illness or Intentional Self-Harm with a Follow-Up Visit Within 30 Days after Discharge: Ages 6 to 17</t>
        </is>
      </c>
      <c r="F12" t="inlineStr">
        <is>
          <t>Higher values are better</t>
        </is>
      </c>
      <c r="G12" t="inlineStr">
        <is>
          <t>Mathematica analysis of the Quality Measure Reporting (QMR) system reports for the 2024 Core Set as of April 28, 2025.</t>
        </is>
      </c>
      <c r="H1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0.6889999999999999</v>
      </c>
      <c r="J12" s="4" t="n">
        <v>0.7</v>
      </c>
      <c r="K12" s="4" t="n">
        <v>0.873</v>
      </c>
      <c r="L12" s="4" t="n">
        <v>0.357</v>
      </c>
      <c r="M12" s="4" t="n">
        <v>0.628</v>
      </c>
      <c r="N12" s="4" t="n">
        <v>0.767</v>
      </c>
    </row>
    <row r="13">
      <c r="A13" t="inlineStr">
        <is>
          <t>7-Day Follow-Up</t>
        </is>
      </c>
      <c r="B13" t="n">
        <v>2021</v>
      </c>
      <c r="C13" t="inlineStr">
        <is>
          <t>Medicaid only</t>
        </is>
      </c>
      <c r="D13" t="inlineStr">
        <is>
          <t>Administrative</t>
        </is>
      </c>
      <c r="E13" t="inlineStr">
        <is>
          <t>Percentage of Discharges for Children Hospitalized for Treatment of Mental Illness or Intentional Self-Harm with a Follow-Up Visit Within 7 Days after Discharge: Ages 6 to 17</t>
        </is>
      </c>
      <c r="F13" t="inlineStr">
        <is>
          <t>Higher values are better</t>
        </is>
      </c>
      <c r="G13" t="inlineStr">
        <is>
          <t>Mathematica analysis of the Quality Measure Reporting (QMR) system reports for the FFY 2021 reporting cycle as of June 1, 2023.</t>
        </is>
      </c>
      <c r="H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3" s="4" t="n">
        <v>0.464</v>
      </c>
      <c r="J13" s="4" t="n">
        <v>0.512</v>
      </c>
      <c r="K13" s="4" t="n">
        <v>0.739</v>
      </c>
      <c r="L13" s="4" t="n">
        <v>0.083</v>
      </c>
      <c r="M13" s="4" t="n">
        <v>0.421</v>
      </c>
      <c r="N13" s="4" t="n">
        <v>0.597</v>
      </c>
    </row>
    <row r="14">
      <c r="A14" t="inlineStr">
        <is>
          <t>7-Day Follow-Up</t>
        </is>
      </c>
      <c r="B14" t="n">
        <v>2021</v>
      </c>
      <c r="C14" t="inlineStr">
        <is>
          <t>CHIP only</t>
        </is>
      </c>
      <c r="D14" t="inlineStr">
        <is>
          <t>Administrative</t>
        </is>
      </c>
      <c r="E14" t="inlineStr">
        <is>
          <t>Percentage of Discharges for Children Hospitalized for Treatment of Mental Illness or Intentional Self-Harm with a Follow-Up Visit Within 7 Days after Discharge: Ages 6 to 17</t>
        </is>
      </c>
      <c r="F14" t="inlineStr">
        <is>
          <t>Higher values are better</t>
        </is>
      </c>
      <c r="G14" t="inlineStr">
        <is>
          <t>Mathematica analysis of the Quality Measure Reporting (QMR) system reports for the FFY 2021 reporting cycle as of June 1, 2023.</t>
        </is>
      </c>
      <c r="H1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s="4" t="n">
        <v>0.445</v>
      </c>
      <c r="J14" s="4" t="n">
        <v>0.512</v>
      </c>
      <c r="K14" s="4" t="n">
        <v>0.739</v>
      </c>
      <c r="L14" s="4" t="n">
        <v>0.083</v>
      </c>
      <c r="M14" s="4" t="n">
        <v>0.421</v>
      </c>
      <c r="N14" s="4" t="n">
        <v>0.597</v>
      </c>
    </row>
    <row r="15">
      <c r="A15" t="inlineStr">
        <is>
          <t>7-Day Follow-Up</t>
        </is>
      </c>
      <c r="B15" t="n">
        <v>2022</v>
      </c>
      <c r="C15" t="inlineStr">
        <is>
          <t>Medicaid only</t>
        </is>
      </c>
      <c r="D15" t="inlineStr">
        <is>
          <t>Administrative</t>
        </is>
      </c>
      <c r="E15" t="inlineStr">
        <is>
          <t>Percentage of Discharges for Children Hospitalized for Treatment of Mental Illness or Intentional Self-Harm with a Follow-Up Visit Within 7 Days after Discharge: Ages 6 to 17</t>
        </is>
      </c>
      <c r="F15" t="inlineStr">
        <is>
          <t>Higher values are better</t>
        </is>
      </c>
      <c r="G15" t="inlineStr">
        <is>
          <t>Mathematica analysis of the Quality Measure Reporting (QMR) system reports for the FFY 2022 reporting cycle as of June 1, 2023.</t>
        </is>
      </c>
      <c r="H1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s="4" t="n">
        <v>0.428</v>
      </c>
      <c r="J15" s="4" t="n">
        <v>0.479</v>
      </c>
      <c r="K15" s="4" t="n">
        <v>0.737</v>
      </c>
      <c r="L15" s="4" t="n">
        <v>0.08</v>
      </c>
      <c r="M15" s="4" t="n">
        <v>0.401</v>
      </c>
      <c r="N15" s="4" t="n">
        <v>0.575</v>
      </c>
    </row>
    <row r="16">
      <c r="A16" t="inlineStr">
        <is>
          <t>7-Day Follow-Up</t>
        </is>
      </c>
      <c r="B16" t="n">
        <v>2022</v>
      </c>
      <c r="C16" t="inlineStr">
        <is>
          <t>CHIP only</t>
        </is>
      </c>
      <c r="D16" t="inlineStr">
        <is>
          <t>Administrative</t>
        </is>
      </c>
      <c r="E16" t="inlineStr">
        <is>
          <t>Percentage of Discharges for Children Hospitalized for Treatment of Mental Illness or Intentional Self-Harm with a Follow-Up Visit Within 7 Days after Discharge: Ages 6 to 17</t>
        </is>
      </c>
      <c r="F16" t="inlineStr">
        <is>
          <t>Higher values are better</t>
        </is>
      </c>
      <c r="G16" t="inlineStr">
        <is>
          <t>Mathematica analysis of the Quality Measure Reporting (QMR) system reports for the FFY 2022 reporting cycle as of June 1, 2023.</t>
        </is>
      </c>
      <c r="H16"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6" s="4" t="n">
        <v>0.415</v>
      </c>
      <c r="J16" s="4" t="n">
        <v>0.479</v>
      </c>
      <c r="K16" s="4" t="n">
        <v>0.737</v>
      </c>
      <c r="L16" s="4" t="n">
        <v>0.08</v>
      </c>
      <c r="M16" s="4" t="n">
        <v>0.401</v>
      </c>
      <c r="N16" s="4" t="n">
        <v>0.575</v>
      </c>
    </row>
    <row r="17">
      <c r="A17" t="inlineStr">
        <is>
          <t>7-Day Follow-Up</t>
        </is>
      </c>
      <c r="B17" t="n">
        <v>2023</v>
      </c>
      <c r="C17" t="inlineStr">
        <is>
          <t>Medicaid only</t>
        </is>
      </c>
      <c r="D17" t="inlineStr">
        <is>
          <t>Administrative</t>
        </is>
      </c>
      <c r="E17" t="inlineStr">
        <is>
          <t>Percentage of Discharges for Children Hospitalized for Treatment of Mental Illness or Intentional Self-Harm with a Follow-Up Visit Within 7 Days after Discharge: Ages 6 to 17</t>
        </is>
      </c>
      <c r="F17" t="inlineStr">
        <is>
          <t>Higher values are better</t>
        </is>
      </c>
      <c r="G17" t="inlineStr">
        <is>
          <t>Mathematica analysis of the Quality Measure Reporting (QMR) system reports for the 2023 Core Set as of May 16, 2024.</t>
        </is>
      </c>
      <c r="H1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7" s="4" t="n">
        <v>0.424</v>
      </c>
      <c r="J17" s="4" t="n">
        <v>0.473</v>
      </c>
      <c r="K17" s="4" t="n">
        <v>0.724</v>
      </c>
      <c r="L17" s="4" t="n">
        <v>0.2</v>
      </c>
      <c r="M17" s="4" t="n">
        <v>0.386</v>
      </c>
      <c r="N17" s="4" t="n">
        <v>0.572</v>
      </c>
    </row>
    <row r="18">
      <c r="A18" t="inlineStr">
        <is>
          <t>7-Day Follow-Up</t>
        </is>
      </c>
      <c r="B18" t="n">
        <v>2023</v>
      </c>
      <c r="C18" t="inlineStr">
        <is>
          <t>CHIP only</t>
        </is>
      </c>
      <c r="D18" t="inlineStr">
        <is>
          <t>Administrative</t>
        </is>
      </c>
      <c r="E18" t="inlineStr">
        <is>
          <t>Percentage of Discharges for Children Hospitalized for Treatment of Mental Illness or Intentional Self-Harm with a Follow-Up Visit Within 7 Days after Discharge: Ages 6 to 17</t>
        </is>
      </c>
      <c r="F18" t="inlineStr">
        <is>
          <t>Higher values are better</t>
        </is>
      </c>
      <c r="G18" t="inlineStr">
        <is>
          <t>Mathematica analysis of the Quality Measure Reporting (QMR) system reports for the 2023 Core Set as of May 16, 2024.</t>
        </is>
      </c>
      <c r="H18"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8" s="4" t="n">
        <v>0.406</v>
      </c>
      <c r="J18" s="4" t="n">
        <v>0.473</v>
      </c>
      <c r="K18" s="4" t="n">
        <v>0.724</v>
      </c>
      <c r="L18" s="4" t="n">
        <v>0.2</v>
      </c>
      <c r="M18" s="4" t="n">
        <v>0.386</v>
      </c>
      <c r="N18" s="4" t="n">
        <v>0.572</v>
      </c>
    </row>
    <row r="19">
      <c r="A19" t="inlineStr">
        <is>
          <t>7-Day Follow-Up</t>
        </is>
      </c>
      <c r="B19" t="n">
        <v>2024</v>
      </c>
      <c r="C19" t="inlineStr">
        <is>
          <t>Medicaid (Title XIX), Title XXI-funded Medicaid Expansion CHIP, Separate CHIP (Title XXI)</t>
        </is>
      </c>
      <c r="D19" t="inlineStr">
        <is>
          <t>Administrative</t>
        </is>
      </c>
      <c r="E19" t="inlineStr">
        <is>
          <t>Percentage of Discharges for Children Hospitalized for Treatment of Mental Illness or Intentional Self-Harm with a Follow-Up Visit Within 7 Days after Discharge: Ages 6 to 17</t>
        </is>
      </c>
      <c r="F19" t="inlineStr">
        <is>
          <t>Higher values are better</t>
        </is>
      </c>
      <c r="G19" t="inlineStr">
        <is>
          <t>Mathematica analysis of the Quality Measure Reporting (QMR) system reports for the 2024 Core Set as of April 28, 2025.</t>
        </is>
      </c>
      <c r="H19" t="inlineStr">
        <is>
          <t>State-specific comments: Rate combines the Medicaid and separate CHIP data reported by the state in the QMR system. See Medicaid and separate CHIP state-specific comments for information about the data reported for each population.</t>
        </is>
      </c>
      <c r="I19" s="4" t="n">
        <v>0.412</v>
      </c>
      <c r="J19" s="4" t="n">
        <v>0.448</v>
      </c>
      <c r="K19" s="4" t="n">
        <v>0.732</v>
      </c>
      <c r="L19" s="4" t="n">
        <v>0.182</v>
      </c>
      <c r="M19" s="4" t="n">
        <v>0.352</v>
      </c>
      <c r="N19" s="4" t="n">
        <v>0.5639999999999999</v>
      </c>
    </row>
    <row r="20">
      <c r="A20" t="inlineStr">
        <is>
          <t>7-Day Follow-Up</t>
        </is>
      </c>
      <c r="B20" t="n">
        <v>2024</v>
      </c>
      <c r="C20" t="inlineStr">
        <is>
          <t>Medicaid (Title XIX), Title XXI-funded Medicaid Expansion CHIP</t>
        </is>
      </c>
      <c r="D20" t="inlineStr">
        <is>
          <t>Administrative</t>
        </is>
      </c>
      <c r="E20" t="inlineStr">
        <is>
          <t>Percentage of Discharges for Children Hospitalized for Treatment of Mental Illness or Intentional Self-Harm with a Follow-Up Visit Within 7 Days after Discharge: Ages 6 to 17</t>
        </is>
      </c>
      <c r="F20" t="inlineStr">
        <is>
          <t>Higher values are better</t>
        </is>
      </c>
      <c r="G20" t="inlineStr">
        <is>
          <t>Mathematica analysis of the Quality Measure Reporting (QMR) system reports for the 2024 Core Set as of April 28, 2025.</t>
        </is>
      </c>
      <c r="H2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0" s="4" t="n">
        <v>0.412</v>
      </c>
      <c r="J20" s="4" t="n">
        <v>0.448</v>
      </c>
      <c r="K20" s="4" t="n">
        <v>0.732</v>
      </c>
      <c r="L20" s="4" t="n">
        <v>0.182</v>
      </c>
      <c r="M20" s="4" t="n">
        <v>0.352</v>
      </c>
      <c r="N20" s="4" t="n">
        <v>0.5639999999999999</v>
      </c>
    </row>
    <row r="21">
      <c r="A21" t="inlineStr">
        <is>
          <t>7-Day Follow-Up</t>
        </is>
      </c>
      <c r="B21" t="n">
        <v>2024</v>
      </c>
      <c r="C21" t="inlineStr">
        <is>
          <t>Separate CHIP (Title XXI)</t>
        </is>
      </c>
      <c r="D21" t="inlineStr">
        <is>
          <t>Administrative</t>
        </is>
      </c>
      <c r="E21" t="inlineStr">
        <is>
          <t>Percentage of Discharges for Children Hospitalized for Treatment of Mental Illness or Intentional Self-Harm with a Follow-Up Visit Within 7 Days after Discharge: Ages 6 to 17</t>
        </is>
      </c>
      <c r="F21" t="inlineStr">
        <is>
          <t>Higher values are better</t>
        </is>
      </c>
      <c r="G21" t="inlineStr">
        <is>
          <t>Mathematica analysis of the Quality Measure Reporting (QMR) system reports for the 2024 Core Set as of April 28, 2025.</t>
        </is>
      </c>
      <c r="H21"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1" s="4" t="n">
        <v>0.419</v>
      </c>
      <c r="J21" s="4" t="n">
        <v>0.448</v>
      </c>
      <c r="K21" s="4" t="n">
        <v>0.732</v>
      </c>
      <c r="L21" s="4" t="n">
        <v>0.182</v>
      </c>
      <c r="M21" s="4" t="n">
        <v>0.352</v>
      </c>
      <c r="N21" s="4" t="n">
        <v>0.5639999999999999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18" customWidth="1" min="1" max="1"/>
    <col width="13" customWidth="1" min="2" max="2"/>
    <col width="60" customWidth="1" min="3" max="3"/>
    <col width="16" customWidth="1" min="4" max="4"/>
    <col width="60" customWidth="1" min="5" max="5"/>
    <col width="26" customWidth="1" min="6" max="6"/>
    <col width="60" customWidth="1" min="7" max="7"/>
    <col width="60" customWidth="1" min="8" max="8"/>
    <col width="1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Hospitalization for Mental Illness: Age 18 and Older (FUH-AD)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30-Day Follow-Up</t>
        </is>
      </c>
      <c r="B4" t="n">
        <v>2021</v>
      </c>
      <c r="C4" t="inlineStr">
        <is>
          <t>Medicaid</t>
        </is>
      </c>
      <c r="D4" t="inlineStr">
        <is>
          <t>Administrative</t>
        </is>
      </c>
      <c r="E4" t="inlineStr">
        <is>
          <t>Percentage of  Discharges for Adults Hospitalized for Treatment of Mental Illness or Intentional Self-Harm with a Follow-Up Visit Within 30 Days after Discharge: Ages 18 to 64</t>
        </is>
      </c>
      <c r="F4" t="inlineStr">
        <is>
          <t>Higher values are better</t>
        </is>
      </c>
      <c r="G4" t="inlineStr">
        <is>
          <t>Mathematica analysis of the Quality Measure Reporting (QMR) system reports for the FFY 2021 reporting cycle as of June 1, 2023.</t>
        </is>
      </c>
      <c r="H4"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0.535</v>
      </c>
      <c r="J4" s="4" t="n">
        <v>0.5679999999999999</v>
      </c>
      <c r="K4" s="4" t="n">
        <v>0.741</v>
      </c>
      <c r="L4" s="4" t="n">
        <v>0.219</v>
      </c>
      <c r="M4" s="4" t="n">
        <v>0.488</v>
      </c>
      <c r="N4" s="4" t="n">
        <v>0.648</v>
      </c>
    </row>
    <row r="5">
      <c r="A5" t="inlineStr">
        <is>
          <t>30-Day Follow-Up</t>
        </is>
      </c>
      <c r="B5" t="n">
        <v>2022</v>
      </c>
      <c r="C5" t="inlineStr">
        <is>
          <t>Medicaid</t>
        </is>
      </c>
      <c r="D5" t="inlineStr">
        <is>
          <t>Administrative</t>
        </is>
      </c>
      <c r="E5" t="inlineStr">
        <is>
          <t>Percentage of  Discharges for Adults Hospitalized for Treatment of Mental Illness or Intentional Self-Harm with a Follow-Up Visit Within 30 Days after Discharge: Ages 18 to 64</t>
        </is>
      </c>
      <c r="F5" t="inlineStr">
        <is>
          <t>Higher values are better</t>
        </is>
      </c>
      <c r="G5" t="inlineStr">
        <is>
          <t>Mathematica analysis of the Quality Measure Reporting (QMR) system reports for the FFY 2022 reporting cycle as of June 1, 2023.</t>
        </is>
      </c>
      <c r="H5"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0.514</v>
      </c>
      <c r="J5" s="4" t="n">
        <v>0.545</v>
      </c>
      <c r="K5" s="4" t="n">
        <v>0.76</v>
      </c>
      <c r="L5" s="4" t="n">
        <v>0.228</v>
      </c>
      <c r="M5" s="4" t="n">
        <v>0.483</v>
      </c>
      <c r="N5" s="4" t="n">
        <v>0.649</v>
      </c>
    </row>
    <row r="6">
      <c r="A6" t="inlineStr">
        <is>
          <t>30-Day Follow-Up</t>
        </is>
      </c>
      <c r="B6" t="n">
        <v>2023</v>
      </c>
      <c r="C6" t="inlineStr">
        <is>
          <t>Medicaid</t>
        </is>
      </c>
      <c r="D6" t="inlineStr">
        <is>
          <t>Administrative</t>
        </is>
      </c>
      <c r="E6" t="inlineStr">
        <is>
          <t>Percentage of Discharges for Adults Hospitalized for Treatment of Mental Illness or Intentional Self-Harm with a Follow-Up Visit Within 30 Days after Discharge: Ages 18 to 64</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0.496</v>
      </c>
      <c r="J6" s="4" t="n">
        <v>0.539</v>
      </c>
      <c r="K6" s="4" t="n">
        <v>0.77</v>
      </c>
      <c r="L6" s="4" t="n">
        <v>0.256</v>
      </c>
      <c r="M6" s="4" t="n">
        <v>0.453</v>
      </c>
      <c r="N6" s="4" t="n">
        <v>0.628</v>
      </c>
    </row>
    <row r="7">
      <c r="A7" t="inlineStr">
        <is>
          <t>30-Day Follow-Up</t>
        </is>
      </c>
      <c r="B7" t="n">
        <v>2024</v>
      </c>
      <c r="C7" t="inlineStr">
        <is>
          <t>Medicaid (Title XIX), Title XXI-funded Medicaid Expansion CHIP, Separate CHIP (Title XXI)</t>
        </is>
      </c>
      <c r="D7" t="inlineStr">
        <is>
          <t>Administrative</t>
        </is>
      </c>
      <c r="E7" t="inlineStr">
        <is>
          <t>Percentage of Discharges for Adults Hospitalized for Treatment of Mental Illness or Intentional Self-Harm with a Follow-Up Visit Within 30 Days after Discharge: Ages 18 to 64</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0.494</v>
      </c>
      <c r="J7" s="4" t="n">
        <v>0.514</v>
      </c>
      <c r="K7" s="4" t="n">
        <v>0.765</v>
      </c>
      <c r="L7" s="4" t="n">
        <v>0.257</v>
      </c>
      <c r="M7" s="4" t="n">
        <v>0.437</v>
      </c>
      <c r="N7" s="4" t="n">
        <v>0.61</v>
      </c>
    </row>
    <row r="8">
      <c r="A8" t="inlineStr">
        <is>
          <t>30-Day Follow-Up</t>
        </is>
      </c>
      <c r="B8" t="n">
        <v>2024</v>
      </c>
      <c r="C8" t="inlineStr">
        <is>
          <t>Medicaid (Title XIX), Title XXI-funded Medicaid Expansion CHIP</t>
        </is>
      </c>
      <c r="D8" t="inlineStr">
        <is>
          <t>Administrative</t>
        </is>
      </c>
      <c r="E8" t="inlineStr">
        <is>
          <t>Percentage of Discharges for Adults Hospitalized for Treatment of Mental Illness or Intentional Self-Harm with a Follow-Up Visit Within 30 Days after Discharge: Ages 18 to 64</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0.494</v>
      </c>
      <c r="J8" s="4" t="n">
        <v>0.514</v>
      </c>
      <c r="K8" s="4" t="n">
        <v>0.765</v>
      </c>
      <c r="L8" s="4" t="n">
        <v>0.257</v>
      </c>
      <c r="M8" s="4" t="n">
        <v>0.437</v>
      </c>
      <c r="N8" s="4" t="n">
        <v>0.61</v>
      </c>
    </row>
    <row r="9">
      <c r="A9" t="inlineStr">
        <is>
          <t>30-Day Follow-Up</t>
        </is>
      </c>
      <c r="B9" t="n">
        <v>2024</v>
      </c>
      <c r="C9" t="inlineStr">
        <is>
          <t>Separate CHIP (Title XXI)</t>
        </is>
      </c>
      <c r="D9" t="inlineStr">
        <is>
          <t>Administrative</t>
        </is>
      </c>
      <c r="E9" t="inlineStr">
        <is>
          <t>Percentage of Discharges for Adults Hospitalized for Treatment of Mental Illness or Intentional Self-Harm with a Follow-Up Visit Within 30 Days after Discharge: Ages 18 to 64</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t="inlineStr">
        <is>
          <t>Data suppressed</t>
        </is>
      </c>
      <c r="J9" s="4" t="n">
        <v>0.514</v>
      </c>
      <c r="K9" s="4" t="n">
        <v>0.765</v>
      </c>
      <c r="L9" s="4" t="n">
        <v>0.257</v>
      </c>
      <c r="M9" s="4" t="n">
        <v>0.437</v>
      </c>
      <c r="N9" s="4" t="n">
        <v>0.61</v>
      </c>
    </row>
    <row r="10">
      <c r="A10" t="inlineStr">
        <is>
          <t>7-Day Follow-Up</t>
        </is>
      </c>
      <c r="B10" t="n">
        <v>2021</v>
      </c>
      <c r="C10" t="inlineStr">
        <is>
          <t>Medicaid</t>
        </is>
      </c>
      <c r="D10" t="inlineStr">
        <is>
          <t>Administrative</t>
        </is>
      </c>
      <c r="E10" t="inlineStr">
        <is>
          <t>Percentage of Discharges for Adults Hospitalized for Treatment of Mental Illness or Intentional Self-Harm with a Follow-Up Visit Within 7 Days after Discharge: Ages 18 to 64</t>
        </is>
      </c>
      <c r="F10" t="inlineStr">
        <is>
          <t>Higher values are better</t>
        </is>
      </c>
      <c r="G10" t="inlineStr">
        <is>
          <t>Mathematica analysis of the Quality Measure Reporting (QMR) system reports for the FFY 2021 reporting cycle as of June 1, 2023.</t>
        </is>
      </c>
      <c r="H10"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0" s="4" t="n">
        <v>0.329</v>
      </c>
      <c r="J10" s="4" t="n">
        <v>0.36</v>
      </c>
      <c r="K10" s="4" t="n">
        <v>0.614</v>
      </c>
      <c r="L10" s="4" t="n">
        <v>0.161</v>
      </c>
      <c r="M10" s="4" t="n">
        <v>0.302</v>
      </c>
      <c r="N10" s="4" t="n">
        <v>0.439</v>
      </c>
    </row>
    <row r="11">
      <c r="A11" t="inlineStr">
        <is>
          <t>7-Day Follow-Up</t>
        </is>
      </c>
      <c r="B11" t="n">
        <v>2022</v>
      </c>
      <c r="C11" t="inlineStr">
        <is>
          <t>Medicaid</t>
        </is>
      </c>
      <c r="D11" t="inlineStr">
        <is>
          <t>Administrative</t>
        </is>
      </c>
      <c r="E11" t="inlineStr">
        <is>
          <t>Percentage of Discharges for Adults Hospitalized for Treatment of Mental Illness or Intentional Self-Harm with a Follow-Up Visit Within 7 Days after Discharge: Ages 18 to 64</t>
        </is>
      </c>
      <c r="F11" t="inlineStr">
        <is>
          <t>Higher values are better</t>
        </is>
      </c>
      <c r="G11" t="inlineStr">
        <is>
          <t>Mathematica analysis of the Quality Measure Reporting (QMR) system reports for the FFY 2022 reporting cycle as of June 1, 2023.</t>
        </is>
      </c>
      <c r="H11"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0.31</v>
      </c>
      <c r="J11" s="4" t="n">
        <v>0.339</v>
      </c>
      <c r="K11" s="4" t="n">
        <v>0.652</v>
      </c>
      <c r="L11" s="4" t="n">
        <v>0.15</v>
      </c>
      <c r="M11" s="4" t="n">
        <v>0.286</v>
      </c>
      <c r="N11" s="4" t="n">
        <v>0.433</v>
      </c>
    </row>
    <row r="12">
      <c r="A12" t="inlineStr">
        <is>
          <t>7-Day Follow-Up</t>
        </is>
      </c>
      <c r="B12" t="n">
        <v>2023</v>
      </c>
      <c r="C12" t="inlineStr">
        <is>
          <t>Medicaid</t>
        </is>
      </c>
      <c r="D12" t="inlineStr">
        <is>
          <t>Administrative</t>
        </is>
      </c>
      <c r="E12" t="inlineStr">
        <is>
          <t>Percentage of Discharges for Adults Hospitalized for Treatment of Mental Illness or Intentional Self-Harm with a Follow-Up Visit Within 7 Days after Discharge: Ages 18 to 64</t>
        </is>
      </c>
      <c r="F12" t="inlineStr">
        <is>
          <t>Higher values are better</t>
        </is>
      </c>
      <c r="G12" t="inlineStr">
        <is>
          <t>Mathematica analysis of the Quality Measure Reporting (QMR) system reports for the 2023 Core Set as of May 16, 2024.</t>
        </is>
      </c>
      <c r="H12"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0.298</v>
      </c>
      <c r="J12" s="4" t="n">
        <v>0.323</v>
      </c>
      <c r="K12" s="4" t="n">
        <v>0.636</v>
      </c>
      <c r="L12" s="4" t="n">
        <v>0.144</v>
      </c>
      <c r="M12" s="4" t="n">
        <v>0.27</v>
      </c>
      <c r="N12" s="4" t="n">
        <v>0.412</v>
      </c>
    </row>
    <row r="13">
      <c r="A13" t="inlineStr">
        <is>
          <t>7-Day Follow-Up</t>
        </is>
      </c>
      <c r="B13" t="n">
        <v>2024</v>
      </c>
      <c r="C13" t="inlineStr">
        <is>
          <t>Medicaid (Title XIX), Title XXI-funded Medicaid Expansion CHIP, Separate CHIP (Title XXI)</t>
        </is>
      </c>
      <c r="D13" t="inlineStr">
        <is>
          <t>Administrative</t>
        </is>
      </c>
      <c r="E13" t="inlineStr">
        <is>
          <t>Percentage of Discharges for Adults Hospitalized for Treatment of Mental Illness or Intentional Self-Harm with a Follow-Up Visit Within 7 Days after Discharge: Ages 18 to 64</t>
        </is>
      </c>
      <c r="F13" t="inlineStr">
        <is>
          <t>Higher values are better</t>
        </is>
      </c>
      <c r="G13" t="inlineStr">
        <is>
          <t>Mathematica analysis of the Quality Measure Reporting (QMR) system reports for the 2024 Core Set as of April 28, 2025.</t>
        </is>
      </c>
      <c r="H13" t="inlineStr">
        <is>
          <t>State-specific comments: Rate combines the Medicaid and separate CHIP data reported by the state in the QMR system. See Medicaid and separate CHIP state-specific comments for information about the data reported for each population.</t>
        </is>
      </c>
      <c r="I13" s="4" t="n">
        <v>0.291</v>
      </c>
      <c r="J13" s="4" t="n">
        <v>0.323</v>
      </c>
      <c r="K13" s="4" t="n">
        <v>0.626</v>
      </c>
      <c r="L13" s="4" t="n">
        <v>0.141</v>
      </c>
      <c r="M13" s="4" t="n">
        <v>0.268</v>
      </c>
      <c r="N13" s="4" t="n">
        <v>0.401</v>
      </c>
    </row>
    <row r="14">
      <c r="A14" t="inlineStr">
        <is>
          <t>7-Day Follow-Up</t>
        </is>
      </c>
      <c r="B14" t="n">
        <v>2024</v>
      </c>
      <c r="C14" t="inlineStr">
        <is>
          <t>Medicaid (Title XIX), Title XXI-funded Medicaid Expansion CHIP</t>
        </is>
      </c>
      <c r="D14" t="inlineStr">
        <is>
          <t>Administrative</t>
        </is>
      </c>
      <c r="E14" t="inlineStr">
        <is>
          <t>Percentage of Discharges for Adults Hospitalized for Treatment of Mental Illness or Intentional Self-Harm with a Follow-Up Visit Within 7 Days after Discharge: Ages 18 to 64</t>
        </is>
      </c>
      <c r="F14" t="inlineStr">
        <is>
          <t>Higher values are better</t>
        </is>
      </c>
      <c r="G14" t="inlineStr">
        <is>
          <t>Mathematica analysis of the Quality Measure Reporting (QMR) system reports for the 2024 Core Set as of April 28, 2025.</t>
        </is>
      </c>
      <c r="H1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s="4" t="n">
        <v>0.291</v>
      </c>
      <c r="J14" s="4" t="n">
        <v>0.323</v>
      </c>
      <c r="K14" s="4" t="n">
        <v>0.626</v>
      </c>
      <c r="L14" s="4" t="n">
        <v>0.141</v>
      </c>
      <c r="M14" s="4" t="n">
        <v>0.268</v>
      </c>
      <c r="N14" s="4" t="n">
        <v>0.401</v>
      </c>
    </row>
    <row r="15">
      <c r="A15" t="inlineStr">
        <is>
          <t>7-Day Follow-Up</t>
        </is>
      </c>
      <c r="B15" t="n">
        <v>2024</v>
      </c>
      <c r="C15" t="inlineStr">
        <is>
          <t>Separate CHIP (Title XXI)</t>
        </is>
      </c>
      <c r="D15" t="inlineStr">
        <is>
          <t>Administrative</t>
        </is>
      </c>
      <c r="E15" t="inlineStr">
        <is>
          <t>Percentage of Discharges for Adults Hospitalized for Treatment of Mental Illness or Intentional Self-Harm with a Follow-Up Visit Within 7 Days after Discharge: Ages 18 to 64</t>
        </is>
      </c>
      <c r="F15" t="inlineStr">
        <is>
          <t>Higher values are better</t>
        </is>
      </c>
      <c r="G15" t="inlineStr">
        <is>
          <t>Mathematica analysis of the Quality Measure Reporting (QMR) system reports for the 2024 Core Set as of April 28, 2025.</t>
        </is>
      </c>
      <c r="H15"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t="inlineStr">
        <is>
          <t>Data suppressed</t>
        </is>
      </c>
      <c r="J15" s="4" t="n">
        <v>0.323</v>
      </c>
      <c r="K15" s="4" t="n">
        <v>0.626</v>
      </c>
      <c r="L15" s="4" t="n">
        <v>0.141</v>
      </c>
      <c r="M15" s="4" t="n">
        <v>0.268</v>
      </c>
      <c r="N15" s="4" t="n">
        <v>0.401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34"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Care for Children Prescribed Attention-Deficit/Hyperactivity Disorder (ADHD) Medication: Ages 6 to 12 (ADD-CH)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Continuation &amp; Maintenance Phase</t>
        </is>
      </c>
      <c r="B4" t="n">
        <v>2021</v>
      </c>
      <c r="C4" t="inlineStr">
        <is>
          <t>Medicaid only</t>
        </is>
      </c>
      <c r="D4" t="inlineStr">
        <is>
          <t>Administrative</t>
        </is>
      </c>
      <c r="E4" t="inlineStr">
        <is>
          <t>Percentage Newly Prescribed ADHD Medication with at Least Two Follow-Up Visits in the 9-Month Continuation and Maintenance Phase: Ages 6 to 12</t>
        </is>
      </c>
      <c r="F4" t="inlineStr">
        <is>
          <t>Higher values are better</t>
        </is>
      </c>
      <c r="G4" t="inlineStr">
        <is>
          <t>Mathematica analysis of the Quality Measure Reporting (QMR) system reports for the FFY 2021 reporting cycle as of June 1, 2023.</t>
        </is>
      </c>
      <c r="H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0.595</v>
      </c>
      <c r="J4" s="4" t="n">
        <v>0.578</v>
      </c>
      <c r="K4" s="4" t="n">
        <v>1</v>
      </c>
      <c r="L4" s="4" t="n">
        <v>0.168</v>
      </c>
      <c r="M4" s="4" t="n">
        <v>0.519</v>
      </c>
      <c r="N4" s="4" t="n">
        <v>0.626</v>
      </c>
    </row>
    <row r="5">
      <c r="A5" t="inlineStr">
        <is>
          <t>Continuation &amp; Maintenance Phase</t>
        </is>
      </c>
      <c r="B5" t="n">
        <v>2021</v>
      </c>
      <c r="C5" t="inlineStr">
        <is>
          <t>CHIP only</t>
        </is>
      </c>
      <c r="D5" t="inlineStr">
        <is>
          <t>Administrative</t>
        </is>
      </c>
      <c r="E5" t="inlineStr">
        <is>
          <t>Percentage Newly Prescribed ADHD Medication with at Least Two Follow-Up Visits in the 9-Month Continuation and Maintenance Phase: Ages 6 to 12</t>
        </is>
      </c>
      <c r="F5" t="inlineStr">
        <is>
          <t>Higher values are better</t>
        </is>
      </c>
      <c r="G5" t="inlineStr">
        <is>
          <t>Mathematica analysis of the Quality Measure Reporting (QMR) system reports for the FFY 2021 reporting cycle as of June 1, 2023.</t>
        </is>
      </c>
      <c r="H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0.538</v>
      </c>
      <c r="J5" s="4" t="n">
        <v>0.578</v>
      </c>
      <c r="K5" s="4" t="n">
        <v>1</v>
      </c>
      <c r="L5" s="4" t="n">
        <v>0.168</v>
      </c>
      <c r="M5" s="4" t="n">
        <v>0.519</v>
      </c>
      <c r="N5" s="4" t="n">
        <v>0.626</v>
      </c>
    </row>
    <row r="6">
      <c r="A6" t="inlineStr">
        <is>
          <t>Continuation &amp; Maintenance Phase</t>
        </is>
      </c>
      <c r="B6" t="n">
        <v>2022</v>
      </c>
      <c r="C6" t="inlineStr">
        <is>
          <t>Medicaid only</t>
        </is>
      </c>
      <c r="D6" t="inlineStr">
        <is>
          <t>Administrative</t>
        </is>
      </c>
      <c r="E6" t="inlineStr">
        <is>
          <t>Percentage Newly Prescribed ADHD Medication with at Least Two Follow-Up Visits in the 9-Month Continuation and Maintenance Phase: Ages 6 to 12</t>
        </is>
      </c>
      <c r="F6" t="inlineStr">
        <is>
          <t>Higher values are better</t>
        </is>
      </c>
      <c r="G6" t="inlineStr">
        <is>
          <t>Mathematica analysis of the Quality Measure Reporting (QMR) system reports for the FFY 2022 reporting cycle as of June 1, 2023.</t>
        </is>
      </c>
      <c r="H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0.549</v>
      </c>
      <c r="J6" s="4" t="n">
        <v>0.541</v>
      </c>
      <c r="K6" s="4" t="n">
        <v>1</v>
      </c>
      <c r="L6" s="4" t="n">
        <v>0.076</v>
      </c>
      <c r="M6" s="4" t="n">
        <v>0.451</v>
      </c>
      <c r="N6" s="4" t="n">
        <v>0.595</v>
      </c>
    </row>
    <row r="7">
      <c r="A7" t="inlineStr">
        <is>
          <t>Continuation &amp; Maintenance Phase</t>
        </is>
      </c>
      <c r="B7" t="n">
        <v>2022</v>
      </c>
      <c r="C7" t="inlineStr">
        <is>
          <t>CHIP only</t>
        </is>
      </c>
      <c r="D7" t="inlineStr">
        <is>
          <t>Administrative</t>
        </is>
      </c>
      <c r="E7" t="inlineStr">
        <is>
          <t>Percentage Newly Prescribed ADHD Medication with at Least Two Follow-Up Visits in the 9-Month Continuation and Maintenance Phase: Ages 6 to 12</t>
        </is>
      </c>
      <c r="F7" t="inlineStr">
        <is>
          <t>Higher values are better</t>
        </is>
      </c>
      <c r="G7" t="inlineStr">
        <is>
          <t>Mathematica analysis of the Quality Measure Reporting (QMR) system reports for the FFY 2022 reporting cycle as of June 1, 2023.</t>
        </is>
      </c>
      <c r="H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0.43</v>
      </c>
      <c r="J7" s="4" t="n">
        <v>0.541</v>
      </c>
      <c r="K7" s="4" t="n">
        <v>1</v>
      </c>
      <c r="L7" s="4" t="n">
        <v>0.076</v>
      </c>
      <c r="M7" s="4" t="n">
        <v>0.451</v>
      </c>
      <c r="N7" s="4" t="n">
        <v>0.595</v>
      </c>
    </row>
    <row r="8">
      <c r="A8" t="inlineStr">
        <is>
          <t>Continuation &amp; Maintenance Phase</t>
        </is>
      </c>
      <c r="B8" t="n">
        <v>2023</v>
      </c>
      <c r="C8" t="inlineStr">
        <is>
          <t>Medicaid only</t>
        </is>
      </c>
      <c r="D8" t="inlineStr">
        <is>
          <t>Administrative</t>
        </is>
      </c>
      <c r="E8" t="inlineStr">
        <is>
          <t>Percentage Newly Prescribed ADHD Medication with at Least Two Follow-Up Visits in the 9-Month Continuation and Maintenance Phase: Ages 6 to 12</t>
        </is>
      </c>
      <c r="F8" t="inlineStr">
        <is>
          <t>Higher values are better</t>
        </is>
      </c>
      <c r="G8" t="inlineStr">
        <is>
          <t>Mathematica analysis of the Quality Measure Reporting (QMR) system reports for the 2023 Core Set as of May 16, 2024.</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0.549</v>
      </c>
      <c r="J8" s="4" t="n">
        <v>0.541</v>
      </c>
      <c r="K8" s="4" t="n">
        <v>0.9399999999999999</v>
      </c>
      <c r="L8" s="4" t="n">
        <v>0.179</v>
      </c>
      <c r="M8" s="4" t="n">
        <v>0.49</v>
      </c>
      <c r="N8" s="4" t="n">
        <v>0.604</v>
      </c>
    </row>
    <row r="9">
      <c r="A9" t="inlineStr">
        <is>
          <t>Continuation &amp; Maintenance Phase</t>
        </is>
      </c>
      <c r="B9" t="n">
        <v>2023</v>
      </c>
      <c r="C9" t="inlineStr">
        <is>
          <t>CHIP only</t>
        </is>
      </c>
      <c r="D9" t="inlineStr">
        <is>
          <t>Administrative</t>
        </is>
      </c>
      <c r="E9" t="inlineStr">
        <is>
          <t>Percentage Newly Prescribed ADHD Medication with at Least Two Follow-Up Visits in the 9-Month Continuation and Maintenance Phase: Ages 6 to 12</t>
        </is>
      </c>
      <c r="F9" t="inlineStr">
        <is>
          <t>Higher values are better</t>
        </is>
      </c>
      <c r="G9" t="inlineStr">
        <is>
          <t>Mathematica analysis of the Quality Measure Reporting (QMR) system reports for the 2023 Core Set as of May 16, 2024.</t>
        </is>
      </c>
      <c r="H9"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s="4" t="n">
        <v>0.581</v>
      </c>
      <c r="J9" s="4" t="n">
        <v>0.541</v>
      </c>
      <c r="K9" s="4" t="n">
        <v>0.9399999999999999</v>
      </c>
      <c r="L9" s="4" t="n">
        <v>0.179</v>
      </c>
      <c r="M9" s="4" t="n">
        <v>0.49</v>
      </c>
      <c r="N9" s="4" t="n">
        <v>0.604</v>
      </c>
    </row>
    <row r="10">
      <c r="A10" t="inlineStr">
        <is>
          <t>Continuation &amp; Maintenance Phase</t>
        </is>
      </c>
      <c r="B10" t="n">
        <v>2024</v>
      </c>
      <c r="C10" t="inlineStr">
        <is>
          <t>Medicaid (Title XIX), Title XXI-funded Medicaid Expansion CHIP, Separate CHIP (Title XXI)</t>
        </is>
      </c>
      <c r="D10" t="inlineStr">
        <is>
          <t>Administrative</t>
        </is>
      </c>
      <c r="E10" t="inlineStr">
        <is>
          <t>Percentage Newly Prescribed ADHD Medication with at Least Two Follow-Up Visits in the 9-Month Continuation and Maintenance Phase: Ages 6 to 12</t>
        </is>
      </c>
      <c r="F10" t="inlineStr">
        <is>
          <t>Higher values are better</t>
        </is>
      </c>
      <c r="G10" t="inlineStr">
        <is>
          <t>Mathematica analysis of the Quality Measure Reporting (QMR) system reports for the 2024 Core Set as of April 28, 2025.</t>
        </is>
      </c>
      <c r="H10" t="inlineStr">
        <is>
          <t>State-specific comments: Rate combines the Medicaid and separate CHIP data reported by the state in the QMR system. See Medicaid and separate CHIP state-specific comments for information about the data reported for each population.</t>
        </is>
      </c>
      <c r="I10" s="4" t="n">
        <v>0.546</v>
      </c>
      <c r="J10" s="4" t="n">
        <v>0.548</v>
      </c>
      <c r="K10" s="4" t="n">
        <v>0.9340000000000001</v>
      </c>
      <c r="L10" s="4" t="n">
        <v>0.243</v>
      </c>
      <c r="M10" s="4" t="n">
        <v>0.473</v>
      </c>
      <c r="N10" s="4" t="n">
        <v>0.608</v>
      </c>
    </row>
    <row r="11">
      <c r="A11" t="inlineStr">
        <is>
          <t>Continuation &amp; Maintenance Phase</t>
        </is>
      </c>
      <c r="B11" t="n">
        <v>2024</v>
      </c>
      <c r="C11" t="inlineStr">
        <is>
          <t>Medicaid (Title XIX), Title XXI-funded Medicaid Expansion CHIP</t>
        </is>
      </c>
      <c r="D11" t="inlineStr">
        <is>
          <t>Administrative</t>
        </is>
      </c>
      <c r="E11" t="inlineStr">
        <is>
          <t>Percentage Newly Prescribed ADHD Medication with at Least Two Follow-Up Visits in the 9-Month Continuation and Maintenance Phase: Ages 6 to 12</t>
        </is>
      </c>
      <c r="F11" t="inlineStr">
        <is>
          <t>Higher values are better</t>
        </is>
      </c>
      <c r="G11" t="inlineStr">
        <is>
          <t>Mathematica analysis of the Quality Measure Reporting (QMR) system reports for the 2024 Core Set as of April 28, 2025.</t>
        </is>
      </c>
      <c r="H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0.546</v>
      </c>
      <c r="J11" s="4" t="n">
        <v>0.548</v>
      </c>
      <c r="K11" s="4" t="n">
        <v>0.9340000000000001</v>
      </c>
      <c r="L11" s="4" t="n">
        <v>0.243</v>
      </c>
      <c r="M11" s="4" t="n">
        <v>0.473</v>
      </c>
      <c r="N11" s="4" t="n">
        <v>0.608</v>
      </c>
    </row>
    <row r="12">
      <c r="A12" t="inlineStr">
        <is>
          <t>Continuation &amp; Maintenance Phase</t>
        </is>
      </c>
      <c r="B12" t="n">
        <v>2024</v>
      </c>
      <c r="C12" t="inlineStr">
        <is>
          <t>Separate CHIP (Title XXI)</t>
        </is>
      </c>
      <c r="D12" t="inlineStr">
        <is>
          <t>Administrative</t>
        </is>
      </c>
      <c r="E12" t="inlineStr">
        <is>
          <t>Percentage Newly Prescribed ADHD Medication with at Least Two Follow-Up Visits in the 9-Month Continuation and Maintenance Phase: Ages 6 to 12</t>
        </is>
      </c>
      <c r="F12" t="inlineStr">
        <is>
          <t>Higher values are better</t>
        </is>
      </c>
      <c r="G12" t="inlineStr">
        <is>
          <t>Mathematica analysis of the Quality Measure Reporting (QMR) system reports for the 2024 Core Set as of April 28, 2025.</t>
        </is>
      </c>
      <c r="H1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0.481</v>
      </c>
      <c r="J12" s="4" t="n">
        <v>0.548</v>
      </c>
      <c r="K12" s="4" t="n">
        <v>0.9340000000000001</v>
      </c>
      <c r="L12" s="4" t="n">
        <v>0.243</v>
      </c>
      <c r="M12" s="4" t="n">
        <v>0.473</v>
      </c>
      <c r="N12" s="4" t="n">
        <v>0.608</v>
      </c>
    </row>
    <row r="13">
      <c r="A13" t="inlineStr">
        <is>
          <t>Initiation Phase</t>
        </is>
      </c>
      <c r="B13" t="n">
        <v>2021</v>
      </c>
      <c r="C13" t="inlineStr">
        <is>
          <t>Medicaid only</t>
        </is>
      </c>
      <c r="D13" t="inlineStr">
        <is>
          <t>Administrative</t>
        </is>
      </c>
      <c r="E13" t="inlineStr">
        <is>
          <t>Percentage Newly Prescribed ADHD Medication with at Least One Follow-Up Visit During the 30-Day Initiation Phase: Ages 6 to 12</t>
        </is>
      </c>
      <c r="F13" t="inlineStr">
        <is>
          <t>Higher values are better</t>
        </is>
      </c>
      <c r="G13" t="inlineStr">
        <is>
          <t>Mathematica analysis of the Quality Measure Reporting (QMR) system reports for the FFY 2021 reporting cycle as of June 1, 2023.</t>
        </is>
      </c>
      <c r="H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3" s="4" t="n">
        <v>0.433</v>
      </c>
      <c r="J13" s="4" t="n">
        <v>0.47</v>
      </c>
      <c r="K13" s="4" t="n">
        <v>0.679</v>
      </c>
      <c r="L13" s="4" t="n">
        <v>0.165</v>
      </c>
      <c r="M13" s="4" t="n">
        <v>0.414</v>
      </c>
      <c r="N13" s="4" t="n">
        <v>0.522</v>
      </c>
    </row>
    <row r="14">
      <c r="A14" t="inlineStr">
        <is>
          <t>Initiation Phase</t>
        </is>
      </c>
      <c r="B14" t="n">
        <v>2021</v>
      </c>
      <c r="C14" t="inlineStr">
        <is>
          <t>CHIP only</t>
        </is>
      </c>
      <c r="D14" t="inlineStr">
        <is>
          <t>Administrative</t>
        </is>
      </c>
      <c r="E14" t="inlineStr">
        <is>
          <t>Percentage Newly Prescribed ADHD Medication with at Least One Follow-Up Visit During the 30-Day Initiation Phase: Ages 6 to 12</t>
        </is>
      </c>
      <c r="F14" t="inlineStr">
        <is>
          <t>Higher values are better</t>
        </is>
      </c>
      <c r="G14" t="inlineStr">
        <is>
          <t>Mathematica analysis of the Quality Measure Reporting (QMR) system reports for the FFY 2021 reporting cycle as of June 1, 2023.</t>
        </is>
      </c>
      <c r="H1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s="4" t="n">
        <v>0.393</v>
      </c>
      <c r="J14" s="4" t="n">
        <v>0.47</v>
      </c>
      <c r="K14" s="4" t="n">
        <v>0.679</v>
      </c>
      <c r="L14" s="4" t="n">
        <v>0.165</v>
      </c>
      <c r="M14" s="4" t="n">
        <v>0.414</v>
      </c>
      <c r="N14" s="4" t="n">
        <v>0.522</v>
      </c>
    </row>
    <row r="15">
      <c r="A15" t="inlineStr">
        <is>
          <t>Initiation Phase</t>
        </is>
      </c>
      <c r="B15" t="n">
        <v>2022</v>
      </c>
      <c r="C15" t="inlineStr">
        <is>
          <t>Medicaid only</t>
        </is>
      </c>
      <c r="D15" t="inlineStr">
        <is>
          <t>Administrative</t>
        </is>
      </c>
      <c r="E15" t="inlineStr">
        <is>
          <t>Percentage Newly Prescribed ADHD Medication with at Least One Follow-Up Visit During the 30-Day Initiation Phase: Ages 6 to 12</t>
        </is>
      </c>
      <c r="F15" t="inlineStr">
        <is>
          <t>Higher values are better</t>
        </is>
      </c>
      <c r="G15" t="inlineStr">
        <is>
          <t>Mathematica analysis of the Quality Measure Reporting (QMR) system reports for the FFY 2022 reporting cycle as of June 1, 2023.</t>
        </is>
      </c>
      <c r="H1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s="4" t="n">
        <v>0.398</v>
      </c>
      <c r="J15" s="4" t="n">
        <v>0.43</v>
      </c>
      <c r="K15" s="4" t="n">
        <v>0.74</v>
      </c>
      <c r="L15" s="4" t="n">
        <v>0.243</v>
      </c>
      <c r="M15" s="4" t="n">
        <v>0.364</v>
      </c>
      <c r="N15" s="4" t="n">
        <v>0.494</v>
      </c>
    </row>
    <row r="16">
      <c r="A16" t="inlineStr">
        <is>
          <t>Initiation Phase</t>
        </is>
      </c>
      <c r="B16" t="n">
        <v>2022</v>
      </c>
      <c r="C16" t="inlineStr">
        <is>
          <t>CHIP only</t>
        </is>
      </c>
      <c r="D16" t="inlineStr">
        <is>
          <t>Administrative</t>
        </is>
      </c>
      <c r="E16" t="inlineStr">
        <is>
          <t>Percentage Newly Prescribed ADHD Medication with at Least One Follow-Up Visit During the 30-Day Initiation Phase: Ages 6 to 12</t>
        </is>
      </c>
      <c r="F16" t="inlineStr">
        <is>
          <t>Higher values are better</t>
        </is>
      </c>
      <c r="G16" t="inlineStr">
        <is>
          <t>Mathematica analysis of the Quality Measure Reporting (QMR) system reports for the FFY 2022 reporting cycle as of June 1, 2023.</t>
        </is>
      </c>
      <c r="H16"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6" s="4" t="n">
        <v>0.345</v>
      </c>
      <c r="J16" s="4" t="n">
        <v>0.43</v>
      </c>
      <c r="K16" s="4" t="n">
        <v>0.74</v>
      </c>
      <c r="L16" s="4" t="n">
        <v>0.243</v>
      </c>
      <c r="M16" s="4" t="n">
        <v>0.364</v>
      </c>
      <c r="N16" s="4" t="n">
        <v>0.494</v>
      </c>
    </row>
    <row r="17">
      <c r="A17" t="inlineStr">
        <is>
          <t>Initiation Phase</t>
        </is>
      </c>
      <c r="B17" t="n">
        <v>2023</v>
      </c>
      <c r="C17" t="inlineStr">
        <is>
          <t>Medicaid only</t>
        </is>
      </c>
      <c r="D17" t="inlineStr">
        <is>
          <t>Administrative</t>
        </is>
      </c>
      <c r="E17" t="inlineStr">
        <is>
          <t>Percentage Newly Prescribed ADHD Medication with at Least One Follow-Up Visit During the 30-Day Initiation Phase: Ages 6 to 12</t>
        </is>
      </c>
      <c r="F17" t="inlineStr">
        <is>
          <t>Higher values are better</t>
        </is>
      </c>
      <c r="G17" t="inlineStr">
        <is>
          <t>Mathematica analysis of the Quality Measure Reporting (QMR) system reports for the 2023 Core Set as of May 16, 2024.</t>
        </is>
      </c>
      <c r="H1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7" s="4" t="n">
        <v>0.426</v>
      </c>
      <c r="J17" s="4" t="n">
        <v>0.46</v>
      </c>
      <c r="K17" s="4" t="n">
        <v>0.645</v>
      </c>
      <c r="L17" s="4" t="n">
        <v>0.287</v>
      </c>
      <c r="M17" s="4" t="n">
        <v>0.42</v>
      </c>
      <c r="N17" s="4" t="n">
        <v>0.501</v>
      </c>
    </row>
    <row r="18">
      <c r="A18" t="inlineStr">
        <is>
          <t>Initiation Phase</t>
        </is>
      </c>
      <c r="B18" t="n">
        <v>2023</v>
      </c>
      <c r="C18" t="inlineStr">
        <is>
          <t>CHIP only</t>
        </is>
      </c>
      <c r="D18" t="inlineStr">
        <is>
          <t>Administrative</t>
        </is>
      </c>
      <c r="E18" t="inlineStr">
        <is>
          <t>Percentage Newly Prescribed ADHD Medication with at Least One Follow-Up Visit During the 30-Day Initiation Phase: Ages 6 to 12</t>
        </is>
      </c>
      <c r="F18" t="inlineStr">
        <is>
          <t>Higher values are better</t>
        </is>
      </c>
      <c r="G18" t="inlineStr">
        <is>
          <t>Mathematica analysis of the Quality Measure Reporting (QMR) system reports for the 2023 Core Set as of May 16, 2024.</t>
        </is>
      </c>
      <c r="H18"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8" s="4" t="n">
        <v>0.39</v>
      </c>
      <c r="J18" s="4" t="n">
        <v>0.46</v>
      </c>
      <c r="K18" s="4" t="n">
        <v>0.645</v>
      </c>
      <c r="L18" s="4" t="n">
        <v>0.287</v>
      </c>
      <c r="M18" s="4" t="n">
        <v>0.42</v>
      </c>
      <c r="N18" s="4" t="n">
        <v>0.501</v>
      </c>
    </row>
    <row r="19">
      <c r="A19" t="inlineStr">
        <is>
          <t>Initiation Phase</t>
        </is>
      </c>
      <c r="B19" t="n">
        <v>2024</v>
      </c>
      <c r="C19" t="inlineStr">
        <is>
          <t>Medicaid (Title XIX), Title XXI-funded Medicaid Expansion CHIP, Separate CHIP (Title XXI)</t>
        </is>
      </c>
      <c r="D19" t="inlineStr">
        <is>
          <t>Administrative</t>
        </is>
      </c>
      <c r="E19" t="inlineStr">
        <is>
          <t>Percentage Newly Prescribed ADHD Medication with at Least One Follow-Up Visit During the 30-Day Initiation Phase: Ages 6 to 12</t>
        </is>
      </c>
      <c r="F19" t="inlineStr">
        <is>
          <t>Higher values are better</t>
        </is>
      </c>
      <c r="G19" t="inlineStr">
        <is>
          <t>Mathematica analysis of the Quality Measure Reporting (QMR) system reports for the 2024 Core Set as of April 28, 2025.</t>
        </is>
      </c>
      <c r="H19" t="inlineStr">
        <is>
          <t>State-specific comments: Rate combines the Medicaid and separate CHIP data reported by the state in the QMR system. See Medicaid and separate CHIP state-specific comments for information about the data reported for each population.</t>
        </is>
      </c>
      <c r="I19" s="4" t="n">
        <v>0.434</v>
      </c>
      <c r="J19" s="4" t="n">
        <v>0.474</v>
      </c>
      <c r="K19" s="4" t="n">
        <v>0.629</v>
      </c>
      <c r="L19" s="4" t="n">
        <v>0.259</v>
      </c>
      <c r="M19" s="4" t="n">
        <v>0.411</v>
      </c>
      <c r="N19" s="4" t="n">
        <v>0.524</v>
      </c>
    </row>
    <row r="20">
      <c r="A20" t="inlineStr">
        <is>
          <t>Initiation Phase</t>
        </is>
      </c>
      <c r="B20" t="n">
        <v>2024</v>
      </c>
      <c r="C20" t="inlineStr">
        <is>
          <t>Medicaid (Title XIX), Title XXI-funded Medicaid Expansion CHIP</t>
        </is>
      </c>
      <c r="D20" t="inlineStr">
        <is>
          <t>Administrative</t>
        </is>
      </c>
      <c r="E20" t="inlineStr">
        <is>
          <t>Percentage Newly Prescribed ADHD Medication with at Least One Follow-Up Visit During the 30-Day Initiation Phase: Ages 6 to 12</t>
        </is>
      </c>
      <c r="F20" t="inlineStr">
        <is>
          <t>Higher values are better</t>
        </is>
      </c>
      <c r="G20" t="inlineStr">
        <is>
          <t>Mathematica analysis of the Quality Measure Reporting (QMR) system reports for the 2024 Core Set as of April 28, 2025.</t>
        </is>
      </c>
      <c r="H2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0" s="4" t="n">
        <v>0.435</v>
      </c>
      <c r="J20" s="4" t="n">
        <v>0.474</v>
      </c>
      <c r="K20" s="4" t="n">
        <v>0.629</v>
      </c>
      <c r="L20" s="4" t="n">
        <v>0.259</v>
      </c>
      <c r="M20" s="4" t="n">
        <v>0.411</v>
      </c>
      <c r="N20" s="4" t="n">
        <v>0.524</v>
      </c>
    </row>
    <row r="21">
      <c r="A21" t="inlineStr">
        <is>
          <t>Initiation Phase</t>
        </is>
      </c>
      <c r="B21" t="n">
        <v>2024</v>
      </c>
      <c r="C21" t="inlineStr">
        <is>
          <t>Separate CHIP (Title XXI)</t>
        </is>
      </c>
      <c r="D21" t="inlineStr">
        <is>
          <t>Administrative</t>
        </is>
      </c>
      <c r="E21" t="inlineStr">
        <is>
          <t>Percentage Newly Prescribed ADHD Medication with at Least One Follow-Up Visit During the 30-Day Initiation Phase: Ages 6 to 12</t>
        </is>
      </c>
      <c r="F21" t="inlineStr">
        <is>
          <t>Higher values are better</t>
        </is>
      </c>
      <c r="G21" t="inlineStr">
        <is>
          <t>Mathematica analysis of the Quality Measure Reporting (QMR) system reports for the 2024 Core Set as of April 28, 2025.</t>
        </is>
      </c>
      <c r="H21"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1" s="4" t="n">
        <v>0.399</v>
      </c>
      <c r="J21" s="4" t="n">
        <v>0.474</v>
      </c>
      <c r="K21" s="4" t="n">
        <v>0.629</v>
      </c>
      <c r="L21" s="4" t="n">
        <v>0.259</v>
      </c>
      <c r="M21" s="4" t="n">
        <v>0.411</v>
      </c>
      <c r="N21" s="4" t="n">
        <v>0.524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28" customWidth="1" min="1" max="1"/>
    <col width="13" customWidth="1" min="2" max="2"/>
    <col width="60" customWidth="1" min="3" max="3"/>
    <col width="13" customWidth="1" min="4" max="4"/>
    <col width="60" customWidth="1" min="5" max="5"/>
    <col width="26" customWidth="1" min="6" max="6"/>
    <col width="60" customWidth="1" min="7" max="7"/>
    <col width="60" customWidth="1" min="8" max="8"/>
    <col width="23"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Hemoglobin A1c Control for Patients with Diabetes: Ages 18 to 75 (HBD-AD)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HbA1c Control (&lt;8.0%)</t>
        </is>
      </c>
      <c r="B4" t="n">
        <v>2023</v>
      </c>
      <c r="C4" t="inlineStr">
        <is>
          <t>Medicaid</t>
        </is>
      </c>
      <c r="D4" t="inlineStr">
        <is>
          <t>Hybrid</t>
        </is>
      </c>
      <c r="E4" t="inlineStr">
        <is>
          <t>Percentage with Diabetes (Type 1 or Type 2) who had Hemoglobin A1c in Control (&lt;8.0%): Ages 18 to 64</t>
        </is>
      </c>
      <c r="F4" t="inlineStr">
        <is>
          <t>Higher values are better</t>
        </is>
      </c>
      <c r="G4" t="inlineStr">
        <is>
          <t>Mathematica analysis of the Quality Measure Reporting (QMR) system reports for the 2023 Core Set as of May 16, 2024.</t>
        </is>
      </c>
      <c r="H4" t="inlineStr">
        <is>
          <t>State-specific comments: Rates include managed care population (16 MCOs). State reported that rates exclude the following populations: "State of Texas Access Reform (STAR) Health, STAR Kids, and FFS, which make up only a small portion of the overall eligible population."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89,225.</t>
        </is>
      </c>
      <c r="I4" s="4" t="n">
        <v>0.442</v>
      </c>
      <c r="J4" s="4" t="n">
        <v>0.522</v>
      </c>
      <c r="K4" s="4" t="n">
        <v>0.593</v>
      </c>
      <c r="L4" s="4" t="n">
        <v>0.038</v>
      </c>
      <c r="M4" s="4" t="n">
        <v>0.461</v>
      </c>
      <c r="N4" s="4" t="n">
        <v>0.55</v>
      </c>
    </row>
    <row r="5">
      <c r="A5" t="inlineStr">
        <is>
          <t>HbA1c Control (&lt;8.0%)</t>
        </is>
      </c>
      <c r="B5" t="n">
        <v>2024</v>
      </c>
      <c r="C5" t="inlineStr">
        <is>
          <t>Medicaid (Title XIX), Title XXI-funded Medicaid Expansion CHIP</t>
        </is>
      </c>
      <c r="D5" t="inlineStr">
        <is>
          <t>Hybrid</t>
        </is>
      </c>
      <c r="E5" t="inlineStr">
        <is>
          <t>Percentage with Diabetes (Type 1 or Type 2) who had Hemoglobin A1c in Control (&lt;8.0%): Ages 18 to 64</t>
        </is>
      </c>
      <c r="F5" t="inlineStr">
        <is>
          <t>Higher values are better</t>
        </is>
      </c>
      <c r="G5" t="inlineStr">
        <is>
          <t>Mathematica analysis of the Quality Measure Reporting (QMR) system reports for the 2024 Core Set as of April 28, 2025.</t>
        </is>
      </c>
      <c r="H5"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0.53</v>
      </c>
      <c r="J5" s="4" t="n">
        <v>0.521</v>
      </c>
      <c r="K5" s="4" t="n">
        <v>0.643</v>
      </c>
      <c r="L5" s="4" t="n">
        <v>0.049</v>
      </c>
      <c r="M5" s="4" t="n">
        <v>0.336</v>
      </c>
      <c r="N5" s="4" t="n">
        <v>0.59</v>
      </c>
    </row>
    <row r="6">
      <c r="A6" t="inlineStr">
        <is>
          <t>HbA1c Poor Control (&gt;9.0%)</t>
        </is>
      </c>
      <c r="B6" t="n">
        <v>2023</v>
      </c>
      <c r="C6" t="inlineStr">
        <is>
          <t>Medicaid</t>
        </is>
      </c>
      <c r="D6" t="inlineStr">
        <is>
          <t>Hybrid</t>
        </is>
      </c>
      <c r="E6" t="inlineStr">
        <is>
          <t>Percentage with Diabetes (Type 1 or Type 2) who had Hemoglobin A1c in Poor Control (&gt;9.0%): Ages 18 to 64</t>
        </is>
      </c>
      <c r="F6" t="inlineStr">
        <is>
          <t>Lower values are better</t>
        </is>
      </c>
      <c r="G6" t="inlineStr">
        <is>
          <t>Mathematica analysis of the Quality Measure Reporting (QMR) system reports for the 2023 Core Set as of May 16, 2024.</t>
        </is>
      </c>
      <c r="H6" t="inlineStr">
        <is>
          <t>State-specific comments: Rates include managed care population (16 MCOs). State reported that rates exclude the following populations: "State of Texas Access Reform (STAR) Health, STAR Kids, and FFS, which make up only a small portion of the overall eligible population."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89,225.</t>
        </is>
      </c>
      <c r="I6" s="4" t="n">
        <v>0.484</v>
      </c>
      <c r="J6" s="4" t="n">
        <v>0.373</v>
      </c>
      <c r="K6" s="4" t="n">
        <v>0.7</v>
      </c>
      <c r="L6" s="4" t="n">
        <v>0.02</v>
      </c>
      <c r="M6" s="4" t="n">
        <v>0.346</v>
      </c>
      <c r="N6" s="4" t="n">
        <v>0.442</v>
      </c>
    </row>
    <row r="7">
      <c r="A7" t="inlineStr">
        <is>
          <t>HbA1c Poor Control (&gt;9.0%)</t>
        </is>
      </c>
      <c r="B7" t="n">
        <v>2024</v>
      </c>
      <c r="C7" t="inlineStr">
        <is>
          <t>Medicaid (Title XIX), Title XXI-funded Medicaid Expansion CHIP</t>
        </is>
      </c>
      <c r="D7" t="inlineStr">
        <is>
          <t>Hybrid</t>
        </is>
      </c>
      <c r="E7" t="inlineStr">
        <is>
          <t>Percentage with Diabetes (Type 1 or Type 2) who had Hemoglobin A1c in Poor Control (&gt;9.0%): Ages 18 to 64</t>
        </is>
      </c>
      <c r="F7" t="inlineStr">
        <is>
          <t>Lower values are better</t>
        </is>
      </c>
      <c r="G7" t="inlineStr">
        <is>
          <t>Mathematica analysis of the Quality Measure Reporting (QMR) system reports for the 2024 Core Set as of April 28, 2025.</t>
        </is>
      </c>
      <c r="H7"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0.401</v>
      </c>
      <c r="J7" s="4" t="n">
        <v>0.388</v>
      </c>
      <c r="K7" s="4" t="n">
        <v>0.926</v>
      </c>
      <c r="L7" s="4" t="n">
        <v>0.025</v>
      </c>
      <c r="M7" s="4" t="n">
        <v>0.321</v>
      </c>
      <c r="N7" s="4" t="n">
        <v>0.545</v>
      </c>
    </row>
    <row r="8">
      <c r="A8" t="inlineStr"/>
      <c r="B8" t="n">
        <v>2021</v>
      </c>
      <c r="C8" t="inlineStr"/>
      <c r="D8" t="inlineStr"/>
      <c r="E8" t="inlineStr">
        <is>
          <t>Percentage with Diabetes (Type 1 or Type 2) who had Hemoglobin A1c in Poor Control (&gt;9.0%): Ages 18 to 64</t>
        </is>
      </c>
      <c r="F8" t="inlineStr">
        <is>
          <t>Lower values are better</t>
        </is>
      </c>
      <c r="G8" t="inlineStr">
        <is>
          <t>Mathematica analysis of the Quality Measure Reporting (QMR) system reports for the FFY 2021 reporting cycle as of June 1, 2023.</t>
        </is>
      </c>
      <c r="H8" t="inlineStr"/>
      <c r="I8" t="inlineStr">
        <is>
          <t>Not reported by state</t>
        </is>
      </c>
      <c r="J8" s="4" t="n">
        <v>0.438</v>
      </c>
      <c r="K8" s="4" t="n">
        <v>0.892</v>
      </c>
      <c r="L8" s="4" t="n">
        <v>0.29</v>
      </c>
      <c r="M8" s="4" t="n">
        <v>0.393</v>
      </c>
      <c r="N8" s="4" t="n">
        <v>0.519</v>
      </c>
    </row>
    <row r="9">
      <c r="A9" t="inlineStr"/>
      <c r="B9" t="n">
        <v>2022</v>
      </c>
      <c r="C9" t="inlineStr">
        <is>
          <t>Medicaid</t>
        </is>
      </c>
      <c r="D9" t="inlineStr">
        <is>
          <t>Hybrid</t>
        </is>
      </c>
      <c r="E9" t="inlineStr">
        <is>
          <t>Percentage with Diabetes (Type 1 or Type 2) who had Hemoglobin A1c in Poor Control (&gt;9.0%): Ages 18 to 64</t>
        </is>
      </c>
      <c r="F9" t="inlineStr">
        <is>
          <t>Lower values are better</t>
        </is>
      </c>
      <c r="G9" t="inlineStr">
        <is>
          <t>Mathematica analysis of the Quality Measure Reporting (QMR) system reports for the FFY 2022 reporting cycle as of June 1, 2023.</t>
        </is>
      </c>
      <c r="H9" t="inlineStr">
        <is>
          <t>State-specific comments: Rate includes managed care population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 was audited or validated.</t>
        </is>
      </c>
      <c r="I9" s="4" t="n">
        <v>0.521</v>
      </c>
      <c r="J9" s="4" t="n">
        <v>0.412</v>
      </c>
      <c r="K9" s="4" t="n">
        <v>0.734</v>
      </c>
      <c r="L9" s="4" t="n">
        <v>0.27</v>
      </c>
      <c r="M9" s="4" t="n">
        <v>0.368</v>
      </c>
      <c r="N9" s="4" t="n">
        <v>0.489</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36" customWidth="1" min="1" max="1"/>
    <col width="13" customWidth="1" min="2" max="2"/>
    <col width="60" customWidth="1" min="3" max="3"/>
    <col width="25" customWidth="1" min="4" max="4"/>
    <col width="60"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Immunizations for Adolescents: Age 13 (IMA-CH)</t>
        </is>
      </c>
    </row>
    <row r="2"/>
    <row r="3">
      <c r="A3" s="1" t="inlineStr">
        <is>
          <t>Immunization Type</t>
        </is>
      </c>
      <c r="B3" s="1" t="inlineStr">
        <is>
          <t>Data Period</t>
        </is>
      </c>
      <c r="C3" s="1" t="inlineStr">
        <is>
          <t>Population</t>
        </is>
      </c>
      <c r="D3" s="1" t="inlineStr">
        <is>
          <t>Methodology</t>
        </is>
      </c>
      <c r="E3" s="1" t="inlineStr">
        <is>
          <t>Value Type</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inlineStr">
        <is>
          <t>Combination 1</t>
        </is>
      </c>
      <c r="B4" t="n">
        <v>2021</v>
      </c>
      <c r="C4" t="inlineStr">
        <is>
          <t>Medicaid only</t>
        </is>
      </c>
      <c r="D4" t="inlineStr">
        <is>
          <t>Administrative &amp; Hybrid</t>
        </is>
      </c>
      <c r="E4" t="inlineStr">
        <is>
          <t>Percentage Up to Date on Recommended Immunizations (Combination 1) by Their 13th Birthday</t>
        </is>
      </c>
      <c r="F4" t="inlineStr">
        <is>
          <t>Mathematica analysis of the Quality Measure Reporting (QMR) system reports for the FFY 2021 reporting cycle as of June 1, 2023.</t>
        </is>
      </c>
      <c r="G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Results were based on both administrative and hybrid data sources. Administrative data sources were used for State of Texas Access Reform (STAR) Health and FFS, while hybrid data sources were used for CHIP, STAR, and STAR Kids. Denominator is the measure-eligible population. Rates were audited or validated.</t>
        </is>
      </c>
      <c r="H4" s="4" t="n">
        <v>0.871</v>
      </c>
      <c r="I4" s="4" t="n">
        <v>0.782</v>
      </c>
      <c r="J4" s="4" t="n">
        <v>0.898</v>
      </c>
      <c r="K4" s="4" t="n">
        <v>0.095</v>
      </c>
      <c r="L4" s="4" t="n">
        <v>0.701</v>
      </c>
      <c r="M4" s="4" t="n">
        <v>0.856</v>
      </c>
    </row>
    <row r="5">
      <c r="A5" t="inlineStr">
        <is>
          <t>Combination 1</t>
        </is>
      </c>
      <c r="B5" t="n">
        <v>2021</v>
      </c>
      <c r="C5" t="inlineStr">
        <is>
          <t>CHIP only</t>
        </is>
      </c>
      <c r="D5" t="inlineStr">
        <is>
          <t>Hybrid</t>
        </is>
      </c>
      <c r="E5" t="inlineStr">
        <is>
          <t>Percentage Up to Date on Recommended Immunizations (Combination 1) by Their 13th Birthday</t>
        </is>
      </c>
      <c r="F5" t="inlineStr">
        <is>
          <t>Mathematica analysis of the Quality Measure Reporting (QMR) system reports for the FFY 2021 reporting cycle as of June 1, 2023.</t>
        </is>
      </c>
      <c r="G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H5" s="4" t="n">
        <v>0.877</v>
      </c>
      <c r="I5" s="4" t="n">
        <v>0.782</v>
      </c>
      <c r="J5" s="4" t="n">
        <v>0.898</v>
      </c>
      <c r="K5" s="4" t="n">
        <v>0.095</v>
      </c>
      <c r="L5" s="4" t="n">
        <v>0.701</v>
      </c>
      <c r="M5" s="4" t="n">
        <v>0.856</v>
      </c>
    </row>
    <row r="6">
      <c r="A6" t="inlineStr">
        <is>
          <t>Combination 1</t>
        </is>
      </c>
      <c r="B6" t="n">
        <v>2022</v>
      </c>
      <c r="C6" t="inlineStr">
        <is>
          <t>Medicaid only</t>
        </is>
      </c>
      <c r="D6" t="inlineStr">
        <is>
          <t>Administrative &amp; Hybrid</t>
        </is>
      </c>
      <c r="E6" t="inlineStr">
        <is>
          <t>Percentage Up to Date on Recommended Immunizations (Combination 1) by Their 13th Birthday</t>
        </is>
      </c>
      <c r="F6" t="inlineStr">
        <is>
          <t>Mathematica analysis of the Quality Measure Reporting (QMR) system reports for the FFY 2022 reporting cycle as of June 1, 2023.</t>
        </is>
      </c>
      <c r="G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The measure was based on hybrid data for State of Texas Access Reform (STAR) and STAR Kids (a combined total of 16 MCOs). Administrative data was used for FFS and STAR Health (1 MCO). The measure-eligible population is 10,275. Rates were audited or validated.</t>
        </is>
      </c>
      <c r="H6" s="4" t="n">
        <v>0.853</v>
      </c>
      <c r="I6" s="4" t="n">
        <v>0.752</v>
      </c>
      <c r="J6" s="4" t="n">
        <v>0.876</v>
      </c>
      <c r="K6" s="4" t="n">
        <v>0.103</v>
      </c>
      <c r="L6" s="4" t="n">
        <v>0.6830000000000001</v>
      </c>
      <c r="M6" s="4" t="n">
        <v>0.825</v>
      </c>
    </row>
    <row r="7">
      <c r="A7" t="inlineStr">
        <is>
          <t>Combination 1</t>
        </is>
      </c>
      <c r="B7" t="n">
        <v>2022</v>
      </c>
      <c r="C7" t="inlineStr">
        <is>
          <t>CHIP only</t>
        </is>
      </c>
      <c r="D7" t="inlineStr">
        <is>
          <t>Hybrid</t>
        </is>
      </c>
      <c r="E7" t="inlineStr">
        <is>
          <t>Percentage Up to Date on Recommended Immunizations (Combination 1) by Their 13th Birthday</t>
        </is>
      </c>
      <c r="F7" t="inlineStr">
        <is>
          <t>Mathematica analysis of the Quality Measure Reporting (QMR) system reports for the FFY 2022 reporting cycle as of June 1, 2023.</t>
        </is>
      </c>
      <c r="G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H7" s="4" t="n">
        <v>0.874</v>
      </c>
      <c r="I7" s="4" t="n">
        <v>0.752</v>
      </c>
      <c r="J7" s="4" t="n">
        <v>0.876</v>
      </c>
      <c r="K7" s="4" t="n">
        <v>0.103</v>
      </c>
      <c r="L7" s="4" t="n">
        <v>0.6830000000000001</v>
      </c>
      <c r="M7" s="4" t="n">
        <v>0.825</v>
      </c>
    </row>
    <row r="8">
      <c r="A8" t="inlineStr">
        <is>
          <t>Combination 1</t>
        </is>
      </c>
      <c r="B8" t="n">
        <v>2023</v>
      </c>
      <c r="C8" t="inlineStr">
        <is>
          <t>Medicaid only</t>
        </is>
      </c>
      <c r="D8" t="inlineStr">
        <is>
          <t>Administrative &amp; Hybrid</t>
        </is>
      </c>
      <c r="E8" t="inlineStr">
        <is>
          <t>Percentage Up to Date on Recommended Immunizations (Combination 1) by Their 13th Birthday</t>
        </is>
      </c>
      <c r="F8" t="inlineStr">
        <is>
          <t>Mathematica analysis of the Quality Measure Reporting (QMR) system reports for the 2023 Core Set as of May 16, 2024.</t>
        </is>
      </c>
      <c r="G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For FFY 2023 IMA, Texas State of Texas Access Reform (STAR) and STAR Kids used hybrid data collection method, while STAR Health and FFS contributed administrative data. Denominator is the measure-eligible population. Rates were audited or validated.</t>
        </is>
      </c>
      <c r="H8" s="4" t="n">
        <v>0.849</v>
      </c>
      <c r="I8" s="4" t="n">
        <v>0.765</v>
      </c>
      <c r="J8" s="4" t="n">
        <v>0.888</v>
      </c>
      <c r="K8" s="4" t="n">
        <v>0.112</v>
      </c>
      <c r="L8" s="4" t="n">
        <v>0.676</v>
      </c>
      <c r="M8" s="4" t="n">
        <v>0.838</v>
      </c>
    </row>
    <row r="9">
      <c r="A9" t="inlineStr">
        <is>
          <t>Combination 1</t>
        </is>
      </c>
      <c r="B9" t="n">
        <v>2023</v>
      </c>
      <c r="C9" t="inlineStr">
        <is>
          <t>CHIP only</t>
        </is>
      </c>
      <c r="D9" t="inlineStr">
        <is>
          <t>Hybrid</t>
        </is>
      </c>
      <c r="E9" t="inlineStr">
        <is>
          <t>Percentage Up to Date on Recommended Immunizations (Combination 1) by Their 13th Birthday</t>
        </is>
      </c>
      <c r="F9" t="inlineStr">
        <is>
          <t>Mathematica analysis of the Quality Measure Reporting (QMR) system reports for the 2023 Core Set as of May 16, 2024.</t>
        </is>
      </c>
      <c r="G9"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2,963. Rates were audited or validated.</t>
        </is>
      </c>
      <c r="H9" s="4" t="n">
        <v>0.906</v>
      </c>
      <c r="I9" s="4" t="n">
        <v>0.765</v>
      </c>
      <c r="J9" s="4" t="n">
        <v>0.888</v>
      </c>
      <c r="K9" s="4" t="n">
        <v>0.112</v>
      </c>
      <c r="L9" s="4" t="n">
        <v>0.676</v>
      </c>
      <c r="M9" s="4" t="n">
        <v>0.838</v>
      </c>
    </row>
    <row r="10">
      <c r="A10" t="inlineStr">
        <is>
          <t>Combination 1</t>
        </is>
      </c>
      <c r="B10" t="n">
        <v>2024</v>
      </c>
      <c r="C10" t="inlineStr">
        <is>
          <t>Medicaid (Title XIX), Title XXI-funded Medicaid Expansion CHIP, Separate CHIP (Title XXI)</t>
        </is>
      </c>
      <c r="D10" t="inlineStr">
        <is>
          <t>Administrative &amp; Hybrid</t>
        </is>
      </c>
      <c r="E10" t="inlineStr">
        <is>
          <t>Percentage Up to Date on Recommended Immunizations (Combination 1) by Their 13th Birthday</t>
        </is>
      </c>
      <c r="F10" t="inlineStr">
        <is>
          <t>Mathematica analysis of the Quality Measure Reporting (QMR) system reports for the 2024 Core Set as of April 28, 2025.</t>
        </is>
      </c>
      <c r="G10" t="inlineStr">
        <is>
          <t>State-specific comments: Rate combines the Medicaid and separate CHIP data reported by the state in the QMR system. See Medicaid and separate CHIP state-specific comments for information about the data reported for each population.</t>
        </is>
      </c>
      <c r="H10" s="4" t="n">
        <v>0.857</v>
      </c>
      <c r="I10" s="4" t="n">
        <v>0.753</v>
      </c>
      <c r="J10" s="4" t="n">
        <v>0.907</v>
      </c>
      <c r="K10" s="4" t="n">
        <v>0.277</v>
      </c>
      <c r="L10" s="4" t="n">
        <v>0.636</v>
      </c>
      <c r="M10" s="4" t="n">
        <v>0.824</v>
      </c>
    </row>
    <row r="11">
      <c r="A11" t="inlineStr">
        <is>
          <t>Combination 1</t>
        </is>
      </c>
      <c r="B11" t="n">
        <v>2024</v>
      </c>
      <c r="C11" t="inlineStr">
        <is>
          <t>Medicaid (Title XIX), Title XXI-funded Medicaid Expansion CHIP</t>
        </is>
      </c>
      <c r="D11" t="inlineStr">
        <is>
          <t>Administrative &amp; Hybrid</t>
        </is>
      </c>
      <c r="E11" t="inlineStr">
        <is>
          <t>Percentage Up to Date on Recommended Immunizations (Combination 1) by Their 13th Birthday</t>
        </is>
      </c>
      <c r="F11" t="inlineStr">
        <is>
          <t>Mathematica analysis of the Quality Measure Reporting (QMR) system reports for the 2024 Core Set as of April 28, 2025.</t>
        </is>
      </c>
      <c r="G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Hybrid data was collected for State of Texas Access Reform (STAR) and STAR Kids, while STAR Health and FFS contributed administrative data. Rates were audited or validated.</t>
        </is>
      </c>
      <c r="H11" s="4" t="n">
        <v>0.856</v>
      </c>
      <c r="I11" s="4" t="n">
        <v>0.753</v>
      </c>
      <c r="J11" s="4" t="n">
        <v>0.907</v>
      </c>
      <c r="K11" s="4" t="n">
        <v>0.277</v>
      </c>
      <c r="L11" s="4" t="n">
        <v>0.636</v>
      </c>
      <c r="M11" s="4" t="n">
        <v>0.824</v>
      </c>
    </row>
    <row r="12">
      <c r="A12" t="inlineStr">
        <is>
          <t>Combination 1</t>
        </is>
      </c>
      <c r="B12" t="n">
        <v>2024</v>
      </c>
      <c r="C12" t="inlineStr">
        <is>
          <t>Separate CHIP (Title XXI)</t>
        </is>
      </c>
      <c r="D12" t="inlineStr">
        <is>
          <t>Administrative</t>
        </is>
      </c>
      <c r="E12" t="inlineStr">
        <is>
          <t>Percentage Up to Date on Recommended Immunizations (Combination 1) by Their 13th Birthday</t>
        </is>
      </c>
      <c r="F12" t="inlineStr">
        <is>
          <t>Mathematica analysis of the Quality Measure Reporting (QMR) system reports for the 2024 Core Set as of April 28, 2025.</t>
        </is>
      </c>
      <c r="G1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12" s="4" t="n">
        <v>0.889</v>
      </c>
      <c r="I12" s="4" t="n">
        <v>0.753</v>
      </c>
      <c r="J12" s="4" t="n">
        <v>0.907</v>
      </c>
      <c r="K12" s="4" t="n">
        <v>0.277</v>
      </c>
      <c r="L12" s="4" t="n">
        <v>0.636</v>
      </c>
      <c r="M12" s="4" t="n">
        <v>0.824</v>
      </c>
    </row>
    <row r="13">
      <c r="A13" t="inlineStr">
        <is>
          <t>Human Papillomavirus (HPV) Vaccine</t>
        </is>
      </c>
      <c r="B13" t="n">
        <v>2021</v>
      </c>
      <c r="C13" t="inlineStr">
        <is>
          <t>Medicaid only</t>
        </is>
      </c>
      <c r="D13" t="inlineStr">
        <is>
          <t>Administrative &amp; Hybrid</t>
        </is>
      </c>
      <c r="E13" t="inlineStr">
        <is>
          <t>Percentage who completed the Human Papillomavirus (HPV) Vaccine Series by Their 13th Birthday</t>
        </is>
      </c>
      <c r="F13" t="inlineStr">
        <is>
          <t>Mathematica analysis of the Quality Measure Reporting (QMR) system reports for the FFY 2021 reporting cycle as of June 1, 2023.</t>
        </is>
      </c>
      <c r="G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Results were based on both administrative and hybrid data sources. Administrative data sources were used for State of Texas Access Reform (STAR) Health and FFS, while hybrid data sources were used for CHIP, STAR, and STAR Kids. Denominator is the measure-eligible population. Rates were audited or validated.</t>
        </is>
      </c>
      <c r="H13" s="4" t="n">
        <v>0.432</v>
      </c>
      <c r="I13" s="4" t="n">
        <v>0.377</v>
      </c>
      <c r="J13" s="4" t="n">
        <v>0.681</v>
      </c>
      <c r="K13" s="4" t="n">
        <v>0.047</v>
      </c>
      <c r="L13" s="4" t="n">
        <v>0.324</v>
      </c>
      <c r="M13" s="4" t="n">
        <v>0.427</v>
      </c>
    </row>
    <row r="14">
      <c r="A14" t="inlineStr">
        <is>
          <t>Human Papillomavirus (HPV) Vaccine</t>
        </is>
      </c>
      <c r="B14" t="n">
        <v>2021</v>
      </c>
      <c r="C14" t="inlineStr">
        <is>
          <t>CHIP only</t>
        </is>
      </c>
      <c r="D14" t="inlineStr">
        <is>
          <t>Hybrid</t>
        </is>
      </c>
      <c r="E14" t="inlineStr">
        <is>
          <t>Percentage who completed the Human Papillomavirus (HPV) Vaccine Series by Their 13th Birthday</t>
        </is>
      </c>
      <c r="F14" t="inlineStr">
        <is>
          <t>Mathematica analysis of the Quality Measure Reporting (QMR) system reports for the FFY 2021 reporting cycle as of June 1, 2023.</t>
        </is>
      </c>
      <c r="G1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H14" s="4" t="n">
        <v>0.459</v>
      </c>
      <c r="I14" s="4" t="n">
        <v>0.377</v>
      </c>
      <c r="J14" s="4" t="n">
        <v>0.681</v>
      </c>
      <c r="K14" s="4" t="n">
        <v>0.047</v>
      </c>
      <c r="L14" s="4" t="n">
        <v>0.324</v>
      </c>
      <c r="M14" s="4" t="n">
        <v>0.427</v>
      </c>
    </row>
    <row r="15">
      <c r="A15" t="inlineStr">
        <is>
          <t>Human Papillomavirus (HPV) Vaccine</t>
        </is>
      </c>
      <c r="B15" t="n">
        <v>2022</v>
      </c>
      <c r="C15" t="inlineStr">
        <is>
          <t>Medicaid only</t>
        </is>
      </c>
      <c r="D15" t="inlineStr">
        <is>
          <t>Administrative &amp; Hybrid</t>
        </is>
      </c>
      <c r="E15" t="inlineStr">
        <is>
          <t>Percentage who Completed the Human Papillomavirus (HPV) Vaccine Series by Their 13th Birthday</t>
        </is>
      </c>
      <c r="F15" t="inlineStr">
        <is>
          <t>Mathematica analysis of the Quality Measure Reporting (QMR) system reports for the FFY 2022 reporting cycle as of June 1, 2023.</t>
        </is>
      </c>
      <c r="G1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The measure was based on hybrid data for State of Texas Access Reform (STAR) and STAR Kids (a combined total of 16 MCOs). Administrative data was used for FFS and STAR Health (1 MCO). The measure-eligible population is 10,275. Rates were audited or validated.</t>
        </is>
      </c>
      <c r="H15" s="4" t="n">
        <v>0.425</v>
      </c>
      <c r="I15" s="4" t="n">
        <v>0.35</v>
      </c>
      <c r="J15" s="4" t="n">
        <v>0.635</v>
      </c>
      <c r="K15" s="4" t="n">
        <v>0.037</v>
      </c>
      <c r="L15" s="4" t="n">
        <v>0.315</v>
      </c>
      <c r="M15" s="4" t="n">
        <v>0.408</v>
      </c>
    </row>
    <row r="16">
      <c r="A16" t="inlineStr">
        <is>
          <t>Human Papillomavirus (HPV) Vaccine</t>
        </is>
      </c>
      <c r="B16" t="n">
        <v>2022</v>
      </c>
      <c r="C16" t="inlineStr">
        <is>
          <t>CHIP only</t>
        </is>
      </c>
      <c r="D16" t="inlineStr">
        <is>
          <t>Hybrid</t>
        </is>
      </c>
      <c r="E16" t="inlineStr">
        <is>
          <t>Percentage who Completed the Human Papillomavirus (HPV) Vaccine Series by Their 13th Birthday</t>
        </is>
      </c>
      <c r="F16" t="inlineStr">
        <is>
          <t>Mathematica analysis of the Quality Measure Reporting (QMR) system reports for the FFY 2022 reporting cycle as of June 1, 2023.</t>
        </is>
      </c>
      <c r="G16"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H16" s="4" t="n">
        <v>0.437</v>
      </c>
      <c r="I16" s="4" t="n">
        <v>0.35</v>
      </c>
      <c r="J16" s="4" t="n">
        <v>0.635</v>
      </c>
      <c r="K16" s="4" t="n">
        <v>0.037</v>
      </c>
      <c r="L16" s="4" t="n">
        <v>0.315</v>
      </c>
      <c r="M16" s="4" t="n">
        <v>0.408</v>
      </c>
    </row>
    <row r="17">
      <c r="A17" t="inlineStr">
        <is>
          <t>Human Papillomavirus (HPV) Vaccine</t>
        </is>
      </c>
      <c r="B17" t="n">
        <v>2023</v>
      </c>
      <c r="C17" t="inlineStr">
        <is>
          <t>Medicaid only</t>
        </is>
      </c>
      <c r="D17" t="inlineStr">
        <is>
          <t>Administrative &amp; Hybrid</t>
        </is>
      </c>
      <c r="E17" t="inlineStr">
        <is>
          <t>Percentage who Completed the Human Papillomavirus (HPV) Vaccine Series by Their 13th Birthday</t>
        </is>
      </c>
      <c r="F17" t="inlineStr">
        <is>
          <t>Mathematica analysis of the Quality Measure Reporting (QMR) system reports for the 2023 Core Set as of May 16, 2024.</t>
        </is>
      </c>
      <c r="G1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For FFY 2023 IMA, Texas State of Texas Access Reform (STAR) and STAR Kids used hybrid data collection method, while STAR Health and FFS contributed administrative data. Denominator is the measure-eligible population. Rates were audited or validated.</t>
        </is>
      </c>
      <c r="H17" s="4" t="n">
        <v>0.422</v>
      </c>
      <c r="I17" s="4" t="n">
        <v>0.337</v>
      </c>
      <c r="J17" s="4" t="n">
        <v>0.595</v>
      </c>
      <c r="K17" s="4" t="n">
        <v>0.036</v>
      </c>
      <c r="L17" s="4" t="n">
        <v>0.299</v>
      </c>
      <c r="M17" s="4" t="n">
        <v>0.4</v>
      </c>
    </row>
    <row r="18">
      <c r="A18" t="inlineStr">
        <is>
          <t>Human Papillomavirus (HPV) Vaccine</t>
        </is>
      </c>
      <c r="B18" t="n">
        <v>2023</v>
      </c>
      <c r="C18" t="inlineStr">
        <is>
          <t>CHIP only</t>
        </is>
      </c>
      <c r="D18" t="inlineStr">
        <is>
          <t>Hybrid</t>
        </is>
      </c>
      <c r="E18" t="inlineStr">
        <is>
          <t>Percentage who Completed the Human Papillomavirus (HPV) Vaccine Series by Their 13th Birthday</t>
        </is>
      </c>
      <c r="F18" t="inlineStr">
        <is>
          <t>Mathematica analysis of the Quality Measure Reporting (QMR) system reports for the 2023 Core Set as of May 16, 2024.</t>
        </is>
      </c>
      <c r="G18"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2,963. Rates were audited or validated.</t>
        </is>
      </c>
      <c r="H18" s="4" t="n">
        <v>0.46</v>
      </c>
      <c r="I18" s="4" t="n">
        <v>0.337</v>
      </c>
      <c r="J18" s="4" t="n">
        <v>0.595</v>
      </c>
      <c r="K18" s="4" t="n">
        <v>0.036</v>
      </c>
      <c r="L18" s="4" t="n">
        <v>0.299</v>
      </c>
      <c r="M18" s="4" t="n">
        <v>0.4</v>
      </c>
    </row>
    <row r="19">
      <c r="A19" t="inlineStr">
        <is>
          <t>Human Papillomavirus (HPV) Vaccine</t>
        </is>
      </c>
      <c r="B19" t="n">
        <v>2024</v>
      </c>
      <c r="C19" t="inlineStr">
        <is>
          <t>Medicaid (Title XIX), Title XXI-funded Medicaid Expansion CHIP, Separate CHIP (Title XXI)</t>
        </is>
      </c>
      <c r="D19" t="inlineStr">
        <is>
          <t>Administrative &amp; Hybrid</t>
        </is>
      </c>
      <c r="E19" t="inlineStr">
        <is>
          <t>Percentage who Completed the Human Papillomavirus (HPV) Vaccine Series by Their 13th Birthday</t>
        </is>
      </c>
      <c r="F19" t="inlineStr">
        <is>
          <t>Mathematica analysis of the Quality Measure Reporting (QMR) system reports for the 2024 Core Set as of April 28, 2025.</t>
        </is>
      </c>
      <c r="G19" t="inlineStr">
        <is>
          <t>State-specific comments: Rate combines the Medicaid and separate CHIP data reported by the state in the QMR system. See Medicaid and separate CHIP state-specific comments for information about the data reported for each population.</t>
        </is>
      </c>
      <c r="H19" s="4" t="n">
        <v>0.416</v>
      </c>
      <c r="I19" s="4" t="n">
        <v>0.333</v>
      </c>
      <c r="J19" s="4" t="n">
        <v>0.578</v>
      </c>
      <c r="K19" s="4" t="n">
        <v>0.138</v>
      </c>
      <c r="L19" s="4" t="n">
        <v>0.296</v>
      </c>
      <c r="M19" s="4" t="n">
        <v>0.387</v>
      </c>
    </row>
    <row r="20">
      <c r="A20" t="inlineStr">
        <is>
          <t>Human Papillomavirus (HPV) Vaccine</t>
        </is>
      </c>
      <c r="B20" t="n">
        <v>2024</v>
      </c>
      <c r="C20" t="inlineStr">
        <is>
          <t>Medicaid (Title XIX), Title XXI-funded Medicaid Expansion CHIP</t>
        </is>
      </c>
      <c r="D20" t="inlineStr">
        <is>
          <t>Administrative &amp; Hybrid</t>
        </is>
      </c>
      <c r="E20" t="inlineStr">
        <is>
          <t>Percentage who Completed the Human Papillomavirus (HPV) Vaccine Series by Their 13th Birthday</t>
        </is>
      </c>
      <c r="F20" t="inlineStr">
        <is>
          <t>Mathematica analysis of the Quality Measure Reporting (QMR) system reports for the 2024 Core Set as of April 28, 2025.</t>
        </is>
      </c>
      <c r="G2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derived using both administrative and hybrid method data. Hybrid data was collected for State of Texas Access Reform (STAR) and STAR Kids, while STAR Health and FFS contributed administrative data. Rates were audited or validated.</t>
        </is>
      </c>
      <c r="H20" s="4" t="n">
        <v>0.416</v>
      </c>
      <c r="I20" s="4" t="n">
        <v>0.333</v>
      </c>
      <c r="J20" s="4" t="n">
        <v>0.578</v>
      </c>
      <c r="K20" s="4" t="n">
        <v>0.138</v>
      </c>
      <c r="L20" s="4" t="n">
        <v>0.296</v>
      </c>
      <c r="M20" s="4" t="n">
        <v>0.387</v>
      </c>
    </row>
    <row r="21">
      <c r="A21" t="inlineStr">
        <is>
          <t>Human Papillomavirus (HPV) Vaccine</t>
        </is>
      </c>
      <c r="B21" t="n">
        <v>2024</v>
      </c>
      <c r="C21" t="inlineStr">
        <is>
          <t>Separate CHIP (Title XXI)</t>
        </is>
      </c>
      <c r="D21" t="inlineStr">
        <is>
          <t>Administrative</t>
        </is>
      </c>
      <c r="E21" t="inlineStr">
        <is>
          <t>Percentage who Completed the Human Papillomavirus (HPV) Vaccine Series by Their 13th Birthday</t>
        </is>
      </c>
      <c r="F21" t="inlineStr">
        <is>
          <t>Mathematica analysis of the Quality Measure Reporting (QMR) system reports for the 2024 Core Set as of April 28, 2025.</t>
        </is>
      </c>
      <c r="G21"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21" s="4" t="n">
        <v>0.433</v>
      </c>
      <c r="I21" s="4" t="n">
        <v>0.333</v>
      </c>
      <c r="J21" s="4" t="n">
        <v>0.578</v>
      </c>
      <c r="K21" s="4" t="n">
        <v>0.138</v>
      </c>
      <c r="L21" s="4" t="n">
        <v>0.296</v>
      </c>
      <c r="M21" s="4" t="n">
        <v>0.387</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cols>
    <col width="15" customWidth="1" min="1" max="1"/>
    <col width="47" customWidth="1" min="2" max="2"/>
    <col width="13" customWidth="1" min="3" max="3"/>
    <col width="60" customWidth="1" min="4" max="4"/>
    <col width="16" customWidth="1" min="5" max="5"/>
    <col width="60" customWidth="1" min="6" max="6"/>
    <col width="26" customWidth="1" min="7" max="7"/>
    <col width="60" customWidth="1" min="8" max="8"/>
    <col width="60" customWidth="1" min="9" max="9"/>
    <col width="7" customWidth="1" min="10" max="10"/>
    <col width="8" customWidth="1" min="11" max="11"/>
    <col width="9" customWidth="1" min="12" max="12"/>
    <col width="9" customWidth="1" min="13" max="13"/>
    <col width="16" customWidth="1" min="14" max="14"/>
    <col width="16" customWidth="1" min="15" max="15"/>
  </cols>
  <sheetData>
    <row r="1">
      <c r="A1" t="inlineStr">
        <is>
          <t>Measure Name</t>
        </is>
      </c>
      <c r="B1" t="inlineStr">
        <is>
          <t>Initiation and Engagement of Substance Use Disorder Treatment: Age 18 and Older (IET-AD)</t>
        </is>
      </c>
    </row>
    <row r="2">
      <c r="A2" t="inlineStr">
        <is>
          <t>Initiation: Alcohol Use Disorder: Ages 18 to 64: Due to data source or specification changes, comparisons should only be made within the following Core Set Years: 2021-2022, 2023-2024. See measure information tab for more information.</t>
        </is>
      </c>
      <c r="B2" t="inlineStr"/>
    </row>
    <row r="3">
      <c r="A3" t="inlineStr">
        <is>
          <t>Engagement: Alcohol Use Disorder: Ages 18 to 64: Due to data source or specification changes, comparisons should only be made within the following Core Set Years: 2021-2022, 2023-2024. See measure information tab for more information.</t>
        </is>
      </c>
      <c r="B3" t="inlineStr"/>
    </row>
    <row r="4">
      <c r="A4" t="inlineStr">
        <is>
          <t>Engagement: Opioid Use Disorder: Ages 18 to 64: Due to data source or specification changes, comparisons should only be made within the following Core Set Years: 2021-2022, 2023-2024. See measure information tab for more information.</t>
        </is>
      </c>
      <c r="B4" t="inlineStr"/>
    </row>
    <row r="5">
      <c r="A5" t="inlineStr">
        <is>
          <t>Initiation: Total Substance Use Disorder: Ages 18 to 64: Due to data source or specification changes, comparisons should only be made within the following Core Set Years: 2021-2022, 2023-2024. See measure information tab for more information.</t>
        </is>
      </c>
      <c r="B5" t="inlineStr"/>
    </row>
    <row r="6">
      <c r="A6" t="inlineStr">
        <is>
          <t>Initiation: Other Substance Use Disorder: Ages 18 to 64: Due to data source or specification changes, comparisons should only be made within the following Core Set Years: 2021-2022, 2023-2024. See measure information tab for more information.</t>
        </is>
      </c>
      <c r="B6" t="inlineStr"/>
    </row>
    <row r="7">
      <c r="A7" t="inlineStr">
        <is>
          <t>Engagement: Other Substance Use Disorder: Ages 18 to 64: Due to data source or specification changes, comparisons should only be made within the following Core Set Years: 2021-2022, 2023-2024. See measure information tab for more information.</t>
        </is>
      </c>
      <c r="B7" t="inlineStr"/>
    </row>
    <row r="8">
      <c r="A8" t="inlineStr">
        <is>
          <t>Initiation: Opioid Use Disorder: Ages 18 to 64: Due to data source or specification changes, comparisons should only be made within the following Core Set Years: 2021-2022, 2023-2024. See measure information tab for more information.</t>
        </is>
      </c>
      <c r="B8" t="inlineStr"/>
    </row>
    <row r="9">
      <c r="A9" t="inlineStr">
        <is>
          <t>Engagement: Total Substance Use Disorder: Ages 18 to 64: Due to data source or specification changes, comparisons should only be made within the following Core Set Years: 2021-2022, 2023-2024. See measure information tab for more information.</t>
        </is>
      </c>
      <c r="B9" t="inlineStr"/>
    </row>
    <row r="10"/>
    <row r="11">
      <c r="A11" s="1" t="inlineStr">
        <is>
          <t>Rate</t>
        </is>
      </c>
      <c r="B11" s="1" t="inlineStr">
        <is>
          <t>Diagnosis</t>
        </is>
      </c>
      <c r="C11" s="1" t="inlineStr">
        <is>
          <t>Data Period</t>
        </is>
      </c>
      <c r="D11" s="1" t="inlineStr">
        <is>
          <t>Population</t>
        </is>
      </c>
      <c r="E11" s="1" t="inlineStr">
        <is>
          <t>Methodology</t>
        </is>
      </c>
      <c r="F11" s="1" t="inlineStr">
        <is>
          <t>Value Type</t>
        </is>
      </c>
      <c r="G11" s="1" t="inlineStr">
        <is>
          <t>Value Directionality</t>
        </is>
      </c>
      <c r="H11" s="1" t="inlineStr">
        <is>
          <t>Analysis Source</t>
        </is>
      </c>
      <c r="I11" s="1" t="inlineStr">
        <is>
          <t>Notes</t>
        </is>
      </c>
      <c r="J11" s="1" t="inlineStr">
        <is>
          <t>Value</t>
        </is>
      </c>
      <c r="K11" s="1" t="inlineStr">
        <is>
          <t>Median</t>
        </is>
      </c>
      <c r="L11" s="1" t="inlineStr">
        <is>
          <t>Maximum</t>
        </is>
      </c>
      <c r="M11" s="1" t="inlineStr">
        <is>
          <t>Minimum</t>
        </is>
      </c>
      <c r="N11" s="1" t="inlineStr">
        <is>
          <t>First quartile</t>
        </is>
      </c>
      <c r="O11" s="1" t="inlineStr">
        <is>
          <t>Third quartile</t>
        </is>
      </c>
    </row>
    <row r="12">
      <c r="A12" t="inlineStr">
        <is>
          <t>Engagement</t>
        </is>
      </c>
      <c r="B12" t="inlineStr">
        <is>
          <t>Alcohol Abuse or Dependence: Ages 18 to 64</t>
        </is>
      </c>
      <c r="C12" t="n">
        <v>2021</v>
      </c>
      <c r="D12" t="inlineStr">
        <is>
          <t>Medicaid</t>
        </is>
      </c>
      <c r="E12" t="inlineStr">
        <is>
          <t>Administrative</t>
        </is>
      </c>
      <c r="F12" t="inlineStr">
        <is>
          <t>Percentage with a New Episode of Alcohol Abuse or Dependence who Initiated and Engaged in Alcohol or Other Drug Treatment within 34 Days of the Initiation Visit: Ages 18 to 64</t>
        </is>
      </c>
      <c r="G12" t="inlineStr">
        <is>
          <t>Higher values are better</t>
        </is>
      </c>
      <c r="H12" t="inlineStr">
        <is>
          <t>Mathematica analysis of the Quality Measure Reporting (QMR) system reports for the FFY 2021 reporting cycle as of June 1, 2023.</t>
        </is>
      </c>
      <c r="I12"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2" s="4" t="n">
        <v>0.07199999999999999</v>
      </c>
      <c r="K12" s="4" t="n">
        <v>0.125</v>
      </c>
      <c r="L12" s="4" t="n">
        <v>0.183</v>
      </c>
      <c r="M12" s="4" t="n">
        <v>0.035</v>
      </c>
      <c r="N12" s="4" t="n">
        <v>0.077</v>
      </c>
      <c r="O12" s="4" t="n">
        <v>0.146</v>
      </c>
    </row>
    <row r="13">
      <c r="A13" t="inlineStr">
        <is>
          <t>Engagement</t>
        </is>
      </c>
      <c r="B13" t="inlineStr">
        <is>
          <t>Alcohol Abuse or Dependence: Ages 18 to 64</t>
        </is>
      </c>
      <c r="C13" t="n">
        <v>2022</v>
      </c>
      <c r="D13" t="inlineStr">
        <is>
          <t>Medicaid</t>
        </is>
      </c>
      <c r="E13" t="inlineStr">
        <is>
          <t>Administrative</t>
        </is>
      </c>
      <c r="F13" t="inlineStr">
        <is>
          <t>Percentage with a New Episode of Alcohol Abuse or Dependence who Initiated and Engaged in Alcohol or Other Drug Treatment within 34 Days of the Initiation Visit: Ages 18 to 64</t>
        </is>
      </c>
      <c r="G13" t="inlineStr">
        <is>
          <t>Higher values are better</t>
        </is>
      </c>
      <c r="H13" t="inlineStr">
        <is>
          <t>Mathematica analysis of the Quality Measure Reporting (QMR) system reports for the FFY 2022 reporting cycle as of June 1, 2023.</t>
        </is>
      </c>
      <c r="I13"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3" s="4" t="n">
        <v>0.076</v>
      </c>
      <c r="K13" s="4" t="n">
        <v>0.122</v>
      </c>
      <c r="L13" s="4" t="n">
        <v>0.235</v>
      </c>
      <c r="M13" s="4" t="n">
        <v>0.026</v>
      </c>
      <c r="N13" s="4" t="n">
        <v>0.081</v>
      </c>
      <c r="O13" s="4" t="n">
        <v>0.144</v>
      </c>
    </row>
    <row r="14">
      <c r="A14" t="inlineStr">
        <is>
          <t>Engagement</t>
        </is>
      </c>
      <c r="B14" t="inlineStr">
        <is>
          <t>Alcohol Use Disorder: Ages 18 to 64</t>
        </is>
      </c>
      <c r="C14" t="n">
        <v>2023</v>
      </c>
      <c r="D14" t="inlineStr">
        <is>
          <t>Medicaid</t>
        </is>
      </c>
      <c r="E14" t="inlineStr">
        <is>
          <t>Administrative</t>
        </is>
      </c>
      <c r="F14" t="inlineStr">
        <is>
          <t>Percentage of New Episodes of Alcohol Use Disorder with Engagement of SUD Treatment within 34 Days of Initiation: Ages 18 to 64</t>
        </is>
      </c>
      <c r="G14" t="inlineStr">
        <is>
          <t>Higher values are better</t>
        </is>
      </c>
      <c r="H14" t="inlineStr">
        <is>
          <t>Mathematica analysis of the Quality Measure Reporting (QMR) system reports for the 2023 Core Set as of May 16, 2024.</t>
        </is>
      </c>
      <c r="I14"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4" s="4" t="n">
        <v>0.081</v>
      </c>
      <c r="K14" s="4" t="n">
        <v>0.132</v>
      </c>
      <c r="L14" s="4" t="n">
        <v>0.25</v>
      </c>
      <c r="M14" s="4" t="n">
        <v>0.037</v>
      </c>
      <c r="N14" s="4" t="n">
        <v>0.092</v>
      </c>
      <c r="O14" s="4" t="n">
        <v>0.163</v>
      </c>
    </row>
    <row r="15">
      <c r="A15" t="inlineStr">
        <is>
          <t>Engagement</t>
        </is>
      </c>
      <c r="B15" t="inlineStr">
        <is>
          <t>Alcohol Use Disorder: Ages 18 to 64</t>
        </is>
      </c>
      <c r="C15" t="n">
        <v>2024</v>
      </c>
      <c r="D15" t="inlineStr">
        <is>
          <t>Medicaid (Title XIX), Title XXI-funded Medicaid Expansion CHIP</t>
        </is>
      </c>
      <c r="E15" t="inlineStr">
        <is>
          <t>Administrative</t>
        </is>
      </c>
      <c r="F15" t="inlineStr">
        <is>
          <t>Percentage of New Episodes of Alcohol Use Disorder with Engagement of SUD Treatment within 34 Days of Initiation: Ages 18 to 64</t>
        </is>
      </c>
      <c r="G15" t="inlineStr">
        <is>
          <t>Higher values are better</t>
        </is>
      </c>
      <c r="H15" t="inlineStr">
        <is>
          <t>Mathematica analysis of the Quality Measure Reporting (QMR) system reports for the 2024 Core Set as of April 28, 2025.</t>
        </is>
      </c>
      <c r="I15"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5" s="4" t="n">
        <v>0.081</v>
      </c>
      <c r="K15" s="4" t="n">
        <v>0.136</v>
      </c>
      <c r="L15" s="4" t="n">
        <v>0.251</v>
      </c>
      <c r="M15" s="4" t="n">
        <v>0.048</v>
      </c>
      <c r="N15" s="4" t="n">
        <v>0.08799999999999999</v>
      </c>
      <c r="O15" s="4" t="n">
        <v>0.168</v>
      </c>
    </row>
    <row r="16">
      <c r="A16" t="inlineStr">
        <is>
          <t>Engagement</t>
        </is>
      </c>
      <c r="B16" t="inlineStr">
        <is>
          <t>Opioid Abuse or Dependence: Ages 18 to 64</t>
        </is>
      </c>
      <c r="C16" t="n">
        <v>2021</v>
      </c>
      <c r="D16" t="inlineStr">
        <is>
          <t>Medicaid</t>
        </is>
      </c>
      <c r="E16" t="inlineStr">
        <is>
          <t>Administrative</t>
        </is>
      </c>
      <c r="F16" t="inlineStr">
        <is>
          <t>Percentage with a New Episode of Opioid Abuse or Dependence who Initiated and Engaged in Alcohol or Other Drug Treatment within 34 Days of the Initiation Visit: Ages 18 to 64</t>
        </is>
      </c>
      <c r="G16" t="inlineStr">
        <is>
          <t>Higher values are better</t>
        </is>
      </c>
      <c r="H16" t="inlineStr">
        <is>
          <t>Mathematica analysis of the Quality Measure Reporting (QMR) system reports for the FFY 2021 reporting cycle as of June 1, 2023.</t>
        </is>
      </c>
      <c r="I16"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6" s="4" t="n">
        <v>0.117</v>
      </c>
      <c r="K16" s="4" t="n">
        <v>0.311</v>
      </c>
      <c r="L16" s="4" t="n">
        <v>0.576</v>
      </c>
      <c r="M16" s="4" t="n">
        <v>0.102</v>
      </c>
      <c r="N16" s="4" t="n">
        <v>0.185</v>
      </c>
      <c r="O16" s="4" t="n">
        <v>0.378</v>
      </c>
    </row>
    <row r="17">
      <c r="A17" t="inlineStr">
        <is>
          <t>Engagement</t>
        </is>
      </c>
      <c r="B17" t="inlineStr">
        <is>
          <t>Opioid Abuse or Dependence: Ages 18 to 64</t>
        </is>
      </c>
      <c r="C17" t="n">
        <v>2022</v>
      </c>
      <c r="D17" t="inlineStr">
        <is>
          <t>Medicaid</t>
        </is>
      </c>
      <c r="E17" t="inlineStr">
        <is>
          <t>Administrative</t>
        </is>
      </c>
      <c r="F17" t="inlineStr">
        <is>
          <t>Percentage with a New Episode of Opioid Abuse or Dependence who Initiated and Engaged in Alcohol or Other Drug Treatment within 34 Days of the Initiation Visit: Ages 18 to 64</t>
        </is>
      </c>
      <c r="G17" t="inlineStr">
        <is>
          <t>Higher values are better</t>
        </is>
      </c>
      <c r="H17" t="inlineStr">
        <is>
          <t>Mathematica analysis of the Quality Measure Reporting (QMR) system reports for the FFY 2022 reporting cycle as of June 1, 2023.</t>
        </is>
      </c>
      <c r="I17"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7" s="4" t="n">
        <v>0.138</v>
      </c>
      <c r="K17" s="4" t="n">
        <v>0.295</v>
      </c>
      <c r="L17" s="4" t="n">
        <v>0.512</v>
      </c>
      <c r="M17" s="4" t="n">
        <v>0.097</v>
      </c>
      <c r="N17" s="4" t="n">
        <v>0.175</v>
      </c>
      <c r="O17" s="4" t="n">
        <v>0.374</v>
      </c>
    </row>
    <row r="18">
      <c r="A18" t="inlineStr">
        <is>
          <t>Engagement</t>
        </is>
      </c>
      <c r="B18" t="inlineStr">
        <is>
          <t>Opioid Use Disorder: Ages 18 to 64</t>
        </is>
      </c>
      <c r="C18" t="n">
        <v>2023</v>
      </c>
      <c r="D18" t="inlineStr">
        <is>
          <t>Medicaid</t>
        </is>
      </c>
      <c r="E18" t="inlineStr">
        <is>
          <t>Administrative</t>
        </is>
      </c>
      <c r="F18" t="inlineStr">
        <is>
          <t>Percentage of New Episodes of Opioid Use Disorder with Engagement of SUD Treatment within 34 Days of Initiation: Ages 18 to 64</t>
        </is>
      </c>
      <c r="G18" t="inlineStr">
        <is>
          <t>Higher values are better</t>
        </is>
      </c>
      <c r="H18" t="inlineStr">
        <is>
          <t>Mathematica analysis of the Quality Measure Reporting (QMR) system reports for the 2023 Core Set as of May 16, 2024.</t>
        </is>
      </c>
      <c r="I18"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8" s="4" t="n">
        <v>0.161</v>
      </c>
      <c r="K18" s="4" t="n">
        <v>0.329</v>
      </c>
      <c r="L18" s="4" t="n">
        <v>0.522</v>
      </c>
      <c r="M18" s="4" t="n">
        <v>0.048</v>
      </c>
      <c r="N18" s="4" t="n">
        <v>0.2</v>
      </c>
      <c r="O18" s="4" t="n">
        <v>0.423</v>
      </c>
    </row>
    <row r="19">
      <c r="A19" t="inlineStr">
        <is>
          <t>Engagement</t>
        </is>
      </c>
      <c r="B19" t="inlineStr">
        <is>
          <t>Opioid Use Disorder: Ages 18 to 64</t>
        </is>
      </c>
      <c r="C19" t="n">
        <v>2024</v>
      </c>
      <c r="D19" t="inlineStr">
        <is>
          <t>Medicaid (Title XIX), Title XXI-funded Medicaid Expansion CHIP</t>
        </is>
      </c>
      <c r="E19" t="inlineStr">
        <is>
          <t>Administrative</t>
        </is>
      </c>
      <c r="F19" t="inlineStr">
        <is>
          <t>Percentage of New Episodes of Opioid Use Disorder with Engagement of SUD Treatment within 34 Days of Initiation: Ages 18 to 64</t>
        </is>
      </c>
      <c r="G19" t="inlineStr">
        <is>
          <t>Higher values are better</t>
        </is>
      </c>
      <c r="H19" t="inlineStr">
        <is>
          <t>Mathematica analysis of the Quality Measure Reporting (QMR) system reports for the 2024 Core Set as of April 28, 2025.</t>
        </is>
      </c>
      <c r="I19"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9" s="4" t="n">
        <v>0.166</v>
      </c>
      <c r="K19" s="4" t="n">
        <v>0.311</v>
      </c>
      <c r="L19" s="4" t="n">
        <v>0.552</v>
      </c>
      <c r="M19" s="4" t="n">
        <v>0.052</v>
      </c>
      <c r="N19" s="4" t="n">
        <v>0.227</v>
      </c>
      <c r="O19" s="4" t="n">
        <v>0.395</v>
      </c>
    </row>
    <row r="20">
      <c r="A20" t="inlineStr">
        <is>
          <t>Engagement</t>
        </is>
      </c>
      <c r="B20" t="inlineStr">
        <is>
          <t>Other Drug Abuse or Dependence: Ages 18 to 64</t>
        </is>
      </c>
      <c r="C20" t="n">
        <v>2021</v>
      </c>
      <c r="D20" t="inlineStr">
        <is>
          <t>Medicaid</t>
        </is>
      </c>
      <c r="E20" t="inlineStr">
        <is>
          <t>Administrative</t>
        </is>
      </c>
      <c r="F20" t="inlineStr">
        <is>
          <t>Percentage with a New Episode of Other Drug Abuse or Dependence who Initiated and Engaged in Alcohol or Other Drug Treatment within 34 Days of the Initiation Visit: Ages 18 to 64</t>
        </is>
      </c>
      <c r="G20" t="inlineStr">
        <is>
          <t>Higher values are better</t>
        </is>
      </c>
      <c r="H20" t="inlineStr">
        <is>
          <t>Mathematica analysis of the Quality Measure Reporting (QMR) system reports for the FFY 2021 reporting cycle as of June 1, 2023.</t>
        </is>
      </c>
      <c r="I20"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0" s="4" t="n">
        <v>0.08699999999999999</v>
      </c>
      <c r="K20" s="4" t="n">
        <v>0.113</v>
      </c>
      <c r="L20" s="4" t="n">
        <v>0.196</v>
      </c>
      <c r="M20" s="4" t="n">
        <v>0.029</v>
      </c>
      <c r="N20" s="4" t="n">
        <v>0.078</v>
      </c>
      <c r="O20" s="4" t="n">
        <v>0.148</v>
      </c>
    </row>
    <row r="21">
      <c r="A21" t="inlineStr">
        <is>
          <t>Engagement</t>
        </is>
      </c>
      <c r="B21" t="inlineStr">
        <is>
          <t>Other Drug Abuse or Dependence: Ages 18 to 64</t>
        </is>
      </c>
      <c r="C21" t="n">
        <v>2022</v>
      </c>
      <c r="D21" t="inlineStr">
        <is>
          <t>Medicaid</t>
        </is>
      </c>
      <c r="E21" t="inlineStr">
        <is>
          <t>Administrative</t>
        </is>
      </c>
      <c r="F21" t="inlineStr">
        <is>
          <t>Percentage with a New Episode of Other Drug Abuse or Dependence who Initiated and Engaged in Alcohol or Other Drug Treatment within 34 Days of the Initiation Visit: Ages 18 to 64</t>
        </is>
      </c>
      <c r="G21" t="inlineStr">
        <is>
          <t>Higher values are better</t>
        </is>
      </c>
      <c r="H21" t="inlineStr">
        <is>
          <t>Mathematica analysis of the Quality Measure Reporting (QMR) system reports for the FFY 2022 reporting cycle as of June 1, 2023.</t>
        </is>
      </c>
      <c r="I21"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1" s="4" t="n">
        <v>0.098</v>
      </c>
      <c r="K21" s="4" t="n">
        <v>0.11</v>
      </c>
      <c r="L21" s="4" t="n">
        <v>0.286</v>
      </c>
      <c r="M21" s="4" t="n">
        <v>0.032</v>
      </c>
      <c r="N21" s="4" t="n">
        <v>0.079</v>
      </c>
      <c r="O21" s="4" t="n">
        <v>0.151</v>
      </c>
    </row>
    <row r="22">
      <c r="A22" t="inlineStr">
        <is>
          <t>Engagement</t>
        </is>
      </c>
      <c r="B22" t="inlineStr">
        <is>
          <t>Other Substance Use Disorder: Ages 18 to 64</t>
        </is>
      </c>
      <c r="C22" t="n">
        <v>2023</v>
      </c>
      <c r="D22" t="inlineStr">
        <is>
          <t>Medicaid</t>
        </is>
      </c>
      <c r="E22" t="inlineStr">
        <is>
          <t>Administrative</t>
        </is>
      </c>
      <c r="F22" t="inlineStr">
        <is>
          <t>Percentage of New Episodes of Other SUD with Engagement of SUD Treatment within 34 Days of Initiation: Ages 18 to 64</t>
        </is>
      </c>
      <c r="G22" t="inlineStr">
        <is>
          <t>Higher values are better</t>
        </is>
      </c>
      <c r="H22" t="inlineStr">
        <is>
          <t>Mathematica analysis of the Quality Measure Reporting (QMR) system reports for the 2023 Core Set as of May 16, 2024.</t>
        </is>
      </c>
      <c r="I22"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2" s="4" t="n">
        <v>0.099</v>
      </c>
      <c r="K22" s="4" t="n">
        <v>0.121</v>
      </c>
      <c r="L22" s="4" t="n">
        <v>0.28</v>
      </c>
      <c r="M22" s="4" t="n">
        <v>0.036</v>
      </c>
      <c r="N22" s="4" t="n">
        <v>0.09</v>
      </c>
      <c r="O22" s="4" t="n">
        <v>0.178</v>
      </c>
    </row>
    <row r="23">
      <c r="A23" t="inlineStr">
        <is>
          <t>Engagement</t>
        </is>
      </c>
      <c r="B23" t="inlineStr">
        <is>
          <t>Other Substance Use Disorder: Ages 18 to 64</t>
        </is>
      </c>
      <c r="C23" t="n">
        <v>2024</v>
      </c>
      <c r="D23" t="inlineStr">
        <is>
          <t>Medicaid (Title XIX), Title XXI-funded Medicaid Expansion CHIP</t>
        </is>
      </c>
      <c r="E23" t="inlineStr">
        <is>
          <t>Administrative</t>
        </is>
      </c>
      <c r="F23" t="inlineStr">
        <is>
          <t>Percentage of New Episodes of Other SUD with Engagement of SUD Treatment within 34 Days of Initiation: Ages 18 to 64</t>
        </is>
      </c>
      <c r="G23" t="inlineStr">
        <is>
          <t>Higher values are better</t>
        </is>
      </c>
      <c r="H23" t="inlineStr">
        <is>
          <t>Mathematica analysis of the Quality Measure Reporting (QMR) system reports for the 2024 Core Set as of April 28, 2025.</t>
        </is>
      </c>
      <c r="I23"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3" s="4" t="n">
        <v>0.095</v>
      </c>
      <c r="K23" s="4" t="n">
        <v>0.122</v>
      </c>
      <c r="L23" s="4" t="n">
        <v>0.418</v>
      </c>
      <c r="M23" s="4" t="n">
        <v>0.046</v>
      </c>
      <c r="N23" s="4" t="n">
        <v>0.08400000000000001</v>
      </c>
      <c r="O23" s="4" t="n">
        <v>0.18</v>
      </c>
    </row>
    <row r="24">
      <c r="A24" t="inlineStr">
        <is>
          <t>Engagement</t>
        </is>
      </c>
      <c r="B24" t="inlineStr">
        <is>
          <t>Total AOD Abuse or Dependence: Ages 18 to 64</t>
        </is>
      </c>
      <c r="C24" t="n">
        <v>2021</v>
      </c>
      <c r="D24" t="inlineStr">
        <is>
          <t>Medicaid</t>
        </is>
      </c>
      <c r="E24" t="inlineStr">
        <is>
          <t>Administrative</t>
        </is>
      </c>
      <c r="F24" t="inlineStr">
        <is>
          <t>Percentage with a New Episode of Alcohol or Other Drug Abuse or Dependence who Initiated and Engaged in Alcohol or Other Drug Treatment within 34 Days of the Initiation Visit: Ages 18 to 64</t>
        </is>
      </c>
      <c r="G24" t="inlineStr">
        <is>
          <t>Higher values are better</t>
        </is>
      </c>
      <c r="H24" t="inlineStr">
        <is>
          <t>Mathematica analysis of the Quality Measure Reporting (QMR) system reports for the FFY 2021 reporting cycle as of June 1, 2023.</t>
        </is>
      </c>
      <c r="I24"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4" s="4" t="n">
        <v>0.08799999999999999</v>
      </c>
      <c r="K24" s="4" t="n">
        <v>0.164</v>
      </c>
      <c r="L24" s="4" t="n">
        <v>0.289</v>
      </c>
      <c r="M24" s="4" t="n">
        <v>0.052</v>
      </c>
      <c r="N24" s="4" t="n">
        <v>0.097</v>
      </c>
      <c r="O24" s="4" t="n">
        <v>0.188</v>
      </c>
    </row>
    <row r="25">
      <c r="A25" t="inlineStr">
        <is>
          <t>Engagement</t>
        </is>
      </c>
      <c r="B25" t="inlineStr">
        <is>
          <t>Total AOD Abuse or Dependence: Ages 18 to 64</t>
        </is>
      </c>
      <c r="C25" t="n">
        <v>2022</v>
      </c>
      <c r="D25" t="inlineStr">
        <is>
          <t>Medicaid</t>
        </is>
      </c>
      <c r="E25" t="inlineStr">
        <is>
          <t>Administrative</t>
        </is>
      </c>
      <c r="F25" t="inlineStr">
        <is>
          <t>Percentage with a New Episode of Alcohol or Other Drug Abuse or Dependence who Initiated and Engaged in Alcohol or Other Drug Treatment within 34 Days of the Initiation Visit: Ages 18 to 64</t>
        </is>
      </c>
      <c r="G25" t="inlineStr">
        <is>
          <t>Higher values are better</t>
        </is>
      </c>
      <c r="H25" t="inlineStr">
        <is>
          <t>Mathematica analysis of the Quality Measure Reporting (QMR) system reports for the FFY 2022 reporting cycle as of June 1, 2023.</t>
        </is>
      </c>
      <c r="I25"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5" s="4" t="n">
        <v>0.096</v>
      </c>
      <c r="K25" s="4" t="n">
        <v>0.158</v>
      </c>
      <c r="L25" s="4" t="n">
        <v>0.282</v>
      </c>
      <c r="M25" s="4" t="n">
        <v>0.049</v>
      </c>
      <c r="N25" s="4" t="n">
        <v>0.105</v>
      </c>
      <c r="O25" s="4" t="n">
        <v>0.185</v>
      </c>
    </row>
    <row r="26">
      <c r="A26" t="inlineStr">
        <is>
          <t>Engagement</t>
        </is>
      </c>
      <c r="B26" t="inlineStr">
        <is>
          <t>Total Substance Use Disorder: Ages 18 to 64</t>
        </is>
      </c>
      <c r="C26" t="n">
        <v>2023</v>
      </c>
      <c r="D26" t="inlineStr">
        <is>
          <t>Medicaid</t>
        </is>
      </c>
      <c r="E26" t="inlineStr">
        <is>
          <t>Administrative</t>
        </is>
      </c>
      <c r="F26" t="inlineStr">
        <is>
          <t>Percentage of New Episodes of Total SUD with Engagement of SUD Treatment within 34 Days of Initiation: Ages 18 to 64</t>
        </is>
      </c>
      <c r="G26" t="inlineStr">
        <is>
          <t>Higher values are better</t>
        </is>
      </c>
      <c r="H26" t="inlineStr">
        <is>
          <t>Mathematica analysis of the Quality Measure Reporting (QMR) system reports for the 2023 Core Set as of May 16, 2024.</t>
        </is>
      </c>
      <c r="I26"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6" s="4" t="n">
        <v>0.099</v>
      </c>
      <c r="K26" s="4" t="n">
        <v>0.155</v>
      </c>
      <c r="L26" s="4" t="n">
        <v>0.327</v>
      </c>
      <c r="M26" s="4" t="n">
        <v>0.039</v>
      </c>
      <c r="N26" s="4" t="n">
        <v>0.115</v>
      </c>
      <c r="O26" s="4" t="n">
        <v>0.221</v>
      </c>
    </row>
    <row r="27">
      <c r="A27" t="inlineStr">
        <is>
          <t>Engagement</t>
        </is>
      </c>
      <c r="B27" t="inlineStr">
        <is>
          <t>Total Substance Use Disorder: Ages 18 to 64</t>
        </is>
      </c>
      <c r="C27" t="n">
        <v>2024</v>
      </c>
      <c r="D27" t="inlineStr">
        <is>
          <t>Medicaid (Title XIX), Title XXI-funded Medicaid Expansion CHIP</t>
        </is>
      </c>
      <c r="E27" t="inlineStr">
        <is>
          <t>Administrative</t>
        </is>
      </c>
      <c r="F27" t="inlineStr">
        <is>
          <t>Percentage of New Episodes of Total SUD with Engagement of SUD Treatment within 34 Days of Initiation: Ages 18 to 64</t>
        </is>
      </c>
      <c r="G27" t="inlineStr">
        <is>
          <t>Higher values are better</t>
        </is>
      </c>
      <c r="H27" t="inlineStr">
        <is>
          <t>Mathematica analysis of the Quality Measure Reporting (QMR) system reports for the 2024 Core Set as of April 28, 2025.</t>
        </is>
      </c>
      <c r="I27"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7" s="4" t="n">
        <v>0.097</v>
      </c>
      <c r="K27" s="4" t="n">
        <v>0.157</v>
      </c>
      <c r="L27" s="4" t="n">
        <v>0.353</v>
      </c>
      <c r="M27" s="4" t="n">
        <v>0.05</v>
      </c>
      <c r="N27" s="4" t="n">
        <v>0.113</v>
      </c>
      <c r="O27" s="4" t="n">
        <v>0.235</v>
      </c>
    </row>
    <row r="28">
      <c r="A28" t="inlineStr">
        <is>
          <t>Initiation</t>
        </is>
      </c>
      <c r="B28" t="inlineStr">
        <is>
          <t>Alcohol Abuse or Dependence: Ages 18 to 64</t>
        </is>
      </c>
      <c r="C28" t="n">
        <v>2021</v>
      </c>
      <c r="D28" t="inlineStr">
        <is>
          <t>Medicaid</t>
        </is>
      </c>
      <c r="E28" t="inlineStr">
        <is>
          <t>Administrative</t>
        </is>
      </c>
      <c r="F28" t="inlineStr">
        <is>
          <t>Percentage with a New Episode of Alcohol Abuse or Dependence who Initiated Alcohol or Other Drug Treatment within 14 Days of the Diagnosis: Ages 18 to 64</t>
        </is>
      </c>
      <c r="G28" t="inlineStr">
        <is>
          <t>Higher values are better</t>
        </is>
      </c>
      <c r="H28" t="inlineStr">
        <is>
          <t>Mathematica analysis of the Quality Measure Reporting (QMR) system reports for the FFY 2021 reporting cycle as of June 1, 2023.</t>
        </is>
      </c>
      <c r="I28"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8" s="4" t="n">
        <v>0.428</v>
      </c>
      <c r="K28" s="4" t="n">
        <v>0.42</v>
      </c>
      <c r="L28" s="4" t="n">
        <v>0.503</v>
      </c>
      <c r="M28" s="4" t="n">
        <v>0.33</v>
      </c>
      <c r="N28" s="4" t="n">
        <v>0.382</v>
      </c>
      <c r="O28" s="4" t="n">
        <v>0.455</v>
      </c>
    </row>
    <row r="29">
      <c r="A29" t="inlineStr">
        <is>
          <t>Initiation</t>
        </is>
      </c>
      <c r="B29" t="inlineStr">
        <is>
          <t>Alcohol Abuse or Dependence: Ages 18 to 64</t>
        </is>
      </c>
      <c r="C29" t="n">
        <v>2022</v>
      </c>
      <c r="D29" t="inlineStr">
        <is>
          <t>Medicaid</t>
        </is>
      </c>
      <c r="E29" t="inlineStr">
        <is>
          <t>Administrative</t>
        </is>
      </c>
      <c r="F29" t="inlineStr">
        <is>
          <t>Percentage with a New Episode of Alcohol Abuse or Dependence who Initiated Alcohol or Other Drug Treatment within 14 Days of the Diagnosis: Ages 18 to 64</t>
        </is>
      </c>
      <c r="G29" t="inlineStr">
        <is>
          <t>Higher values are better</t>
        </is>
      </c>
      <c r="H29" t="inlineStr">
        <is>
          <t>Mathematica analysis of the Quality Measure Reporting (QMR) system reports for the FFY 2022 reporting cycle as of June 1, 2023.</t>
        </is>
      </c>
      <c r="I29"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9" s="4" t="n">
        <v>0.397</v>
      </c>
      <c r="K29" s="4" t="n">
        <v>0.421</v>
      </c>
      <c r="L29" s="4" t="n">
        <v>0.5659999999999999</v>
      </c>
      <c r="M29" s="4" t="n">
        <v>0.277</v>
      </c>
      <c r="N29" s="4" t="n">
        <v>0.392</v>
      </c>
      <c r="O29" s="4" t="n">
        <v>0.455</v>
      </c>
    </row>
    <row r="30">
      <c r="A30" t="inlineStr">
        <is>
          <t>Initiation</t>
        </is>
      </c>
      <c r="B30" t="inlineStr">
        <is>
          <t>Alcohol Use Disorder: Ages 18 to 64</t>
        </is>
      </c>
      <c r="C30" t="n">
        <v>2023</v>
      </c>
      <c r="D30" t="inlineStr">
        <is>
          <t>Medicaid</t>
        </is>
      </c>
      <c r="E30" t="inlineStr">
        <is>
          <t>Administrative</t>
        </is>
      </c>
      <c r="F30" t="inlineStr">
        <is>
          <t>Percentage of New Episodes of Alcohol Use Disorder with Initiation of SUD Treatment within 14 Days: Ages 18 to 64</t>
        </is>
      </c>
      <c r="G30" t="inlineStr">
        <is>
          <t>Higher values are better</t>
        </is>
      </c>
      <c r="H30" t="inlineStr">
        <is>
          <t>Mathematica analysis of the Quality Measure Reporting (QMR) system reports for the 2023 Core Set as of May 16, 2024.</t>
        </is>
      </c>
      <c r="I30"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0" s="4" t="n">
        <v>0.4</v>
      </c>
      <c r="K30" s="4" t="n">
        <v>0.413</v>
      </c>
      <c r="L30" s="4" t="n">
        <v>0.668</v>
      </c>
      <c r="M30" s="4" t="n">
        <v>0.196</v>
      </c>
      <c r="N30" s="4" t="n">
        <v>0.383</v>
      </c>
      <c r="O30" s="4" t="n">
        <v>0.451</v>
      </c>
    </row>
    <row r="31">
      <c r="A31" t="inlineStr">
        <is>
          <t>Initiation</t>
        </is>
      </c>
      <c r="B31" t="inlineStr">
        <is>
          <t>Alcohol Use Disorder: Ages 18 to 64</t>
        </is>
      </c>
      <c r="C31" t="n">
        <v>2024</v>
      </c>
      <c r="D31" t="inlineStr">
        <is>
          <t>Medicaid (Title XIX), Title XXI-funded Medicaid Expansion CHIP</t>
        </is>
      </c>
      <c r="E31" t="inlineStr">
        <is>
          <t>Administrative</t>
        </is>
      </c>
      <c r="F31" t="inlineStr">
        <is>
          <t>Percentage of New Episodes of Alcohol Use Disorder with Initiation of SUD Treatment within 14 Days: Ages 18 to 64</t>
        </is>
      </c>
      <c r="G31" t="inlineStr">
        <is>
          <t>Higher values are better</t>
        </is>
      </c>
      <c r="H31" t="inlineStr">
        <is>
          <t>Mathematica analysis of the Quality Measure Reporting (QMR) system reports for the 2024 Core Set as of April 28, 2025.</t>
        </is>
      </c>
      <c r="I31"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1" s="4" t="n">
        <v>0.398</v>
      </c>
      <c r="K31" s="4" t="n">
        <v>0.418</v>
      </c>
      <c r="L31" s="4" t="n">
        <v>0.786</v>
      </c>
      <c r="M31" s="4" t="n">
        <v>0.219</v>
      </c>
      <c r="N31" s="4" t="n">
        <v>0.385</v>
      </c>
      <c r="O31" s="4" t="n">
        <v>0.448</v>
      </c>
    </row>
    <row r="32">
      <c r="A32" t="inlineStr">
        <is>
          <t>Initiation</t>
        </is>
      </c>
      <c r="B32" t="inlineStr">
        <is>
          <t>Opioid Abuse or Dependence: Ages 18 to 64</t>
        </is>
      </c>
      <c r="C32" t="n">
        <v>2021</v>
      </c>
      <c r="D32" t="inlineStr">
        <is>
          <t>Medicaid</t>
        </is>
      </c>
      <c r="E32" t="inlineStr">
        <is>
          <t>Administrative</t>
        </is>
      </c>
      <c r="F32" t="inlineStr">
        <is>
          <t>Percentage with a New Episode of Opioid Abuse or Dependence who Initiated Alcohol or Other Drug Treatment within 14 Days of the Diagnosis: Ages 18 to 64</t>
        </is>
      </c>
      <c r="G32" t="inlineStr">
        <is>
          <t>Higher values are better</t>
        </is>
      </c>
      <c r="H32" t="inlineStr">
        <is>
          <t>Mathematica analysis of the Quality Measure Reporting (QMR) system reports for the FFY 2021 reporting cycle as of June 1, 2023.</t>
        </is>
      </c>
      <c r="I32"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2" s="4" t="n">
        <v>0.424</v>
      </c>
      <c r="K32" s="4" t="n">
        <v>0.5600000000000001</v>
      </c>
      <c r="L32" s="4" t="n">
        <v>0.749</v>
      </c>
      <c r="M32" s="4" t="n">
        <v>0.312</v>
      </c>
      <c r="N32" s="4" t="n">
        <v>0.463</v>
      </c>
      <c r="O32" s="4" t="n">
        <v>0.652</v>
      </c>
    </row>
    <row r="33">
      <c r="A33" t="inlineStr">
        <is>
          <t>Initiation</t>
        </is>
      </c>
      <c r="B33" t="inlineStr">
        <is>
          <t>Opioid Abuse or Dependence: Ages 18 to 64</t>
        </is>
      </c>
      <c r="C33" t="n">
        <v>2022</v>
      </c>
      <c r="D33" t="inlineStr">
        <is>
          <t>Medicaid</t>
        </is>
      </c>
      <c r="E33" t="inlineStr">
        <is>
          <t>Administrative</t>
        </is>
      </c>
      <c r="F33" t="inlineStr">
        <is>
          <t>Percentage with a New Episode of Opioid Abuse or Dependence who Initiated Alcohol or Other Drug Treatment within 14 Days of the Diagnosis: Ages 18 to 64</t>
        </is>
      </c>
      <c r="G33" t="inlineStr">
        <is>
          <t>Higher values are better</t>
        </is>
      </c>
      <c r="H33" t="inlineStr">
        <is>
          <t>Mathematica analysis of the Quality Measure Reporting (QMR) system reports for the FFY 2022 reporting cycle as of June 1, 2023.</t>
        </is>
      </c>
      <c r="I33"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3" s="4" t="n">
        <v>0.429</v>
      </c>
      <c r="K33" s="4" t="n">
        <v>0.5659999999999999</v>
      </c>
      <c r="L33" s="4" t="n">
        <v>0.717</v>
      </c>
      <c r="M33" s="4" t="n">
        <v>0.299</v>
      </c>
      <c r="N33" s="4" t="n">
        <v>0.501</v>
      </c>
      <c r="O33" s="4" t="n">
        <v>0.646</v>
      </c>
    </row>
    <row r="34">
      <c r="A34" t="inlineStr">
        <is>
          <t>Initiation</t>
        </is>
      </c>
      <c r="B34" t="inlineStr">
        <is>
          <t>Opioid Use Disorder: Ages 18 to 64</t>
        </is>
      </c>
      <c r="C34" t="n">
        <v>2023</v>
      </c>
      <c r="D34" t="inlineStr">
        <is>
          <t>Medicaid</t>
        </is>
      </c>
      <c r="E34" t="inlineStr">
        <is>
          <t>Administrative</t>
        </is>
      </c>
      <c r="F34" t="inlineStr">
        <is>
          <t>Percentage of New Episodes of Opioid Use Disorder with Initiation of SUD Treatment within 14 Days: Ages 18 to 64</t>
        </is>
      </c>
      <c r="G34" t="inlineStr">
        <is>
          <t>Higher values are better</t>
        </is>
      </c>
      <c r="H34" t="inlineStr">
        <is>
          <t>Mathematica analysis of the Quality Measure Reporting (QMR) system reports for the 2023 Core Set as of May 16, 2024.</t>
        </is>
      </c>
      <c r="I34"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4" s="4" t="n">
        <v>0.473</v>
      </c>
      <c r="K34" s="4" t="n">
        <v>0.609</v>
      </c>
      <c r="L34" s="4" t="n">
        <v>0.731</v>
      </c>
      <c r="M34" s="4" t="n">
        <v>0.224</v>
      </c>
      <c r="N34" s="4" t="n">
        <v>0.499</v>
      </c>
      <c r="O34" s="4" t="n">
        <v>0.674</v>
      </c>
    </row>
    <row r="35">
      <c r="A35" t="inlineStr">
        <is>
          <t>Initiation</t>
        </is>
      </c>
      <c r="B35" t="inlineStr">
        <is>
          <t>Opioid Use Disorder: Ages 18 to 64</t>
        </is>
      </c>
      <c r="C35" t="n">
        <v>2024</v>
      </c>
      <c r="D35" t="inlineStr">
        <is>
          <t>Medicaid (Title XIX), Title XXI-funded Medicaid Expansion CHIP</t>
        </is>
      </c>
      <c r="E35" t="inlineStr">
        <is>
          <t>Administrative</t>
        </is>
      </c>
      <c r="F35" t="inlineStr">
        <is>
          <t>Percentage of New Episodes of Opioid Use Disorder with Initiation of SUD Treatment within 14 Days: Ages 18 to 64</t>
        </is>
      </c>
      <c r="G35" t="inlineStr">
        <is>
          <t>Higher values are better</t>
        </is>
      </c>
      <c r="H35" t="inlineStr">
        <is>
          <t>Mathematica analysis of the Quality Measure Reporting (QMR) system reports for the 2024 Core Set as of April 28, 2025.</t>
        </is>
      </c>
      <c r="I35"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5" s="4" t="n">
        <v>0.457</v>
      </c>
      <c r="K35" s="4" t="n">
        <v>0.599</v>
      </c>
      <c r="L35" s="4" t="n">
        <v>0.921</v>
      </c>
      <c r="M35" s="4" t="n">
        <v>0.348</v>
      </c>
      <c r="N35" s="4" t="n">
        <v>0.516</v>
      </c>
      <c r="O35" s="4" t="n">
        <v>0.651</v>
      </c>
    </row>
    <row r="36">
      <c r="A36" t="inlineStr">
        <is>
          <t>Initiation</t>
        </is>
      </c>
      <c r="B36" t="inlineStr">
        <is>
          <t>Other Drug Abuse or Dependence: Ages 18 to 64</t>
        </is>
      </c>
      <c r="C36" t="n">
        <v>2021</v>
      </c>
      <c r="D36" t="inlineStr">
        <is>
          <t>Medicaid</t>
        </is>
      </c>
      <c r="E36" t="inlineStr">
        <is>
          <t>Administrative</t>
        </is>
      </c>
      <c r="F36" t="inlineStr">
        <is>
          <t>Percentage with a New Episode of Other Drug Abuse or Dependence who Initiated Alcohol or Other Drug Treatment within 14 Days of the Diagnosis: Ages 18 to 64</t>
        </is>
      </c>
      <c r="G36" t="inlineStr">
        <is>
          <t>Higher values are better</t>
        </is>
      </c>
      <c r="H36" t="inlineStr">
        <is>
          <t>Mathematica analysis of the Quality Measure Reporting (QMR) system reports for the FFY 2021 reporting cycle as of June 1, 2023.</t>
        </is>
      </c>
      <c r="I36"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6" s="4" t="n">
        <v>0.415</v>
      </c>
      <c r="K36" s="4" t="n">
        <v>0.411</v>
      </c>
      <c r="L36" s="4" t="n">
        <v>0.521</v>
      </c>
      <c r="M36" s="4" t="n">
        <v>0.311</v>
      </c>
      <c r="N36" s="4" t="n">
        <v>0.373</v>
      </c>
      <c r="O36" s="4" t="n">
        <v>0.446</v>
      </c>
    </row>
    <row r="37">
      <c r="A37" t="inlineStr">
        <is>
          <t>Initiation</t>
        </is>
      </c>
      <c r="B37" t="inlineStr">
        <is>
          <t>Other Drug Abuse or Dependence: Ages 18 to 64</t>
        </is>
      </c>
      <c r="C37" t="n">
        <v>2022</v>
      </c>
      <c r="D37" t="inlineStr">
        <is>
          <t>Medicaid</t>
        </is>
      </c>
      <c r="E37" t="inlineStr">
        <is>
          <t>Administrative</t>
        </is>
      </c>
      <c r="F37" t="inlineStr">
        <is>
          <t>Percentage with a New Episode of Other Drug Abuse or Dependence who Initiated Alcohol or Other Drug Treatment within 14 Days of the Diagnosis: Ages 18 to 64</t>
        </is>
      </c>
      <c r="G37" t="inlineStr">
        <is>
          <t>Higher values are better</t>
        </is>
      </c>
      <c r="H37" t="inlineStr">
        <is>
          <t>Mathematica analysis of the Quality Measure Reporting (QMR) system reports for the FFY 2022 reporting cycle as of June 1, 2023.</t>
        </is>
      </c>
      <c r="I37"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7" s="4" t="n">
        <v>0.413</v>
      </c>
      <c r="K37" s="4" t="n">
        <v>0.413</v>
      </c>
      <c r="L37" s="4" t="n">
        <v>0.504</v>
      </c>
      <c r="M37" s="4" t="n">
        <v>0.272</v>
      </c>
      <c r="N37" s="4" t="n">
        <v>0.369</v>
      </c>
      <c r="O37" s="4" t="n">
        <v>0.448</v>
      </c>
    </row>
    <row r="38">
      <c r="A38" t="inlineStr">
        <is>
          <t>Initiation</t>
        </is>
      </c>
      <c r="B38" t="inlineStr">
        <is>
          <t>Other Substance Use Disorder: Ages 18 to 64</t>
        </is>
      </c>
      <c r="C38" t="n">
        <v>2023</v>
      </c>
      <c r="D38" t="inlineStr">
        <is>
          <t>Medicaid</t>
        </is>
      </c>
      <c r="E38" t="inlineStr">
        <is>
          <t>Administrative</t>
        </is>
      </c>
      <c r="F38" t="inlineStr">
        <is>
          <t>Percentage of New Episodes of Other SUD with Initiation of SUD Treatment within 14 Days: Ages 18 to 64</t>
        </is>
      </c>
      <c r="G38" t="inlineStr">
        <is>
          <t>Higher values are better</t>
        </is>
      </c>
      <c r="H38" t="inlineStr">
        <is>
          <t>Mathematica analysis of the Quality Measure Reporting (QMR) system reports for the 2023 Core Set as of May 16, 2024.</t>
        </is>
      </c>
      <c r="I38"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8" s="4" t="n">
        <v>0.436</v>
      </c>
      <c r="K38" s="4" t="n">
        <v>0.416</v>
      </c>
      <c r="L38" s="4" t="n">
        <v>0.714</v>
      </c>
      <c r="M38" s="4" t="n">
        <v>0.09</v>
      </c>
      <c r="N38" s="4" t="n">
        <v>0.38</v>
      </c>
      <c r="O38" s="4" t="n">
        <v>0.467</v>
      </c>
    </row>
    <row r="39">
      <c r="A39" t="inlineStr">
        <is>
          <t>Initiation</t>
        </is>
      </c>
      <c r="B39" t="inlineStr">
        <is>
          <t>Other Substance Use Disorder: Ages 18 to 64</t>
        </is>
      </c>
      <c r="C39" t="n">
        <v>2024</v>
      </c>
      <c r="D39" t="inlineStr">
        <is>
          <t>Medicaid (Title XIX), Title XXI-funded Medicaid Expansion CHIP</t>
        </is>
      </c>
      <c r="E39" t="inlineStr">
        <is>
          <t>Administrative</t>
        </is>
      </c>
      <c r="F39" t="inlineStr">
        <is>
          <t>Percentage of New Episodes of Other SUD with Initiation of SUD Treatment within 14 Days: Ages 18 to 64</t>
        </is>
      </c>
      <c r="G39" t="inlineStr">
        <is>
          <t>Higher values are better</t>
        </is>
      </c>
      <c r="H39" t="inlineStr">
        <is>
          <t>Mathematica analysis of the Quality Measure Reporting (QMR) system reports for the 2024 Core Set as of April 28, 2025.</t>
        </is>
      </c>
      <c r="I39"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9" s="4" t="n">
        <v>0.42</v>
      </c>
      <c r="K39" s="4" t="n">
        <v>0.416</v>
      </c>
      <c r="L39" s="4" t="n">
        <v>0.843</v>
      </c>
      <c r="M39" s="4" t="n">
        <v>0.246</v>
      </c>
      <c r="N39" s="4" t="n">
        <v>0.365</v>
      </c>
      <c r="O39" s="4" t="n">
        <v>0.466</v>
      </c>
    </row>
    <row r="40">
      <c r="A40" t="inlineStr">
        <is>
          <t>Initiation</t>
        </is>
      </c>
      <c r="B40" t="inlineStr">
        <is>
          <t>Total AOD Abuse or Dependence: Ages 18 to 64</t>
        </is>
      </c>
      <c r="C40" t="n">
        <v>2021</v>
      </c>
      <c r="D40" t="inlineStr">
        <is>
          <t>Medicaid</t>
        </is>
      </c>
      <c r="E40" t="inlineStr">
        <is>
          <t>Administrative</t>
        </is>
      </c>
      <c r="F40" t="inlineStr">
        <is>
          <t>Percentage with a New Episode of Alcohol or Other Drug Abuse or Dependence who Initiated Alcohol or Other Drug Treatment within 14 Days of the Diagnosis: Ages 18 to 64</t>
        </is>
      </c>
      <c r="G40" t="inlineStr">
        <is>
          <t>Higher values are better</t>
        </is>
      </c>
      <c r="H40" t="inlineStr">
        <is>
          <t>Mathematica analysis of the Quality Measure Reporting (QMR) system reports for the FFY 2021 reporting cycle as of June 1, 2023.</t>
        </is>
      </c>
      <c r="I40"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0" s="4" t="n">
        <v>0.411</v>
      </c>
      <c r="K40" s="4" t="n">
        <v>0.425</v>
      </c>
      <c r="L40" s="4" t="n">
        <v>0.546</v>
      </c>
      <c r="M40" s="4" t="n">
        <v>0.315</v>
      </c>
      <c r="N40" s="4" t="n">
        <v>0.393</v>
      </c>
      <c r="O40" s="4" t="n">
        <v>0.481</v>
      </c>
    </row>
    <row r="41">
      <c r="A41" t="inlineStr">
        <is>
          <t>Initiation</t>
        </is>
      </c>
      <c r="B41" t="inlineStr">
        <is>
          <t>Total AOD Abuse or Dependence: Ages 18 to 64</t>
        </is>
      </c>
      <c r="C41" t="n">
        <v>2022</v>
      </c>
      <c r="D41" t="inlineStr">
        <is>
          <t>Medicaid</t>
        </is>
      </c>
      <c r="E41" t="inlineStr">
        <is>
          <t>Administrative</t>
        </is>
      </c>
      <c r="F41" t="inlineStr">
        <is>
          <t>Percentage with a New Episode of Alcohol or Other Drug Abuse or Dependence who Initiated Alcohol or Other Drug Treatment within 14 Days of the Diagnosis: Ages 18 to 64</t>
        </is>
      </c>
      <c r="G41" t="inlineStr">
        <is>
          <t>Higher values are better</t>
        </is>
      </c>
      <c r="H41" t="inlineStr">
        <is>
          <t>Mathematica analysis of the Quality Measure Reporting (QMR) system reports for the FFY 2022 reporting cycle as of June 1, 2023.</t>
        </is>
      </c>
      <c r="I41"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1" s="4" t="n">
        <v>0.404</v>
      </c>
      <c r="K41" s="4" t="n">
        <v>0.434</v>
      </c>
      <c r="L41" s="4" t="n">
        <v>0.538</v>
      </c>
      <c r="M41" s="4" t="n">
        <v>0.274</v>
      </c>
      <c r="N41" s="4" t="n">
        <v>0.41</v>
      </c>
      <c r="O41" s="4" t="n">
        <v>0.477</v>
      </c>
    </row>
    <row r="42">
      <c r="A42" t="inlineStr">
        <is>
          <t>Initiation</t>
        </is>
      </c>
      <c r="B42" t="inlineStr">
        <is>
          <t>Total Substance Use Disorder: Ages 18 to 64</t>
        </is>
      </c>
      <c r="C42" t="n">
        <v>2023</v>
      </c>
      <c r="D42" t="inlineStr">
        <is>
          <t>Medicaid</t>
        </is>
      </c>
      <c r="E42" t="inlineStr">
        <is>
          <t>Administrative</t>
        </is>
      </c>
      <c r="F42" t="inlineStr">
        <is>
          <t>Percentage of New Episodes of Total SUD with Initiation of SUD Treatment within 14 Days: Ages 18 to 64</t>
        </is>
      </c>
      <c r="G42" t="inlineStr">
        <is>
          <t>Higher values are better</t>
        </is>
      </c>
      <c r="H42" t="inlineStr">
        <is>
          <t>Mathematica analysis of the Quality Measure Reporting (QMR) system reports for the 2023 Core Set as of May 16, 2024.</t>
        </is>
      </c>
      <c r="I42"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2" s="4" t="n">
        <v>0.429</v>
      </c>
      <c r="K42" s="4" t="n">
        <v>0.445</v>
      </c>
      <c r="L42" s="4" t="n">
        <v>0.6879999999999999</v>
      </c>
      <c r="M42" s="4" t="n">
        <v>0.198</v>
      </c>
      <c r="N42" s="4" t="n">
        <v>0.405</v>
      </c>
      <c r="O42" s="4" t="n">
        <v>0.508</v>
      </c>
    </row>
    <row r="43">
      <c r="A43" t="inlineStr">
        <is>
          <t>Initiation</t>
        </is>
      </c>
      <c r="B43" t="inlineStr">
        <is>
          <t>Total Substance Use Disorder: Ages 18 to 64</t>
        </is>
      </c>
      <c r="C43" t="n">
        <v>2024</v>
      </c>
      <c r="D43" t="inlineStr">
        <is>
          <t>Medicaid (Title XIX), Title XXI-funded Medicaid Expansion CHIP</t>
        </is>
      </c>
      <c r="E43" t="inlineStr">
        <is>
          <t>Administrative</t>
        </is>
      </c>
      <c r="F43" t="inlineStr">
        <is>
          <t>Percentage of New Episodes of Total SUD with Initiation of SUD Treatment within 14 Days: Ages 18 to 64</t>
        </is>
      </c>
      <c r="G43" t="inlineStr">
        <is>
          <t>Higher values are better</t>
        </is>
      </c>
      <c r="H43" t="inlineStr">
        <is>
          <t>Mathematica analysis of the Quality Measure Reporting (QMR) system reports for the 2024 Core Set as of April 28, 2025.</t>
        </is>
      </c>
      <c r="I43"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3" s="4" t="n">
        <v>0.417</v>
      </c>
      <c r="K43" s="4" t="n">
        <v>0.442</v>
      </c>
      <c r="L43" s="4" t="n">
        <v>0.823</v>
      </c>
      <c r="M43" s="4" t="n">
        <v>0.245</v>
      </c>
      <c r="N43" s="4" t="n">
        <v>0.399</v>
      </c>
      <c r="O43" s="4" t="n">
        <v>0.506</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15" customWidth="1" min="1" max="1"/>
    <col width="60" customWidth="1" min="2" max="2"/>
    <col width="25" customWidth="1" min="3" max="3"/>
    <col width="60" customWidth="1" min="4" max="4"/>
    <col width="26" customWidth="1" min="5" max="5"/>
    <col width="60" customWidth="1" min="6" max="6"/>
    <col width="60" customWidth="1" min="7" max="7"/>
    <col width="14"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Lead Screening in Children: Age 2 (LSC-CH)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2023</v>
      </c>
      <c r="B4" t="inlineStr">
        <is>
          <t>Medicaid only</t>
        </is>
      </c>
      <c r="C4" t="inlineStr">
        <is>
          <t>Administrative</t>
        </is>
      </c>
      <c r="D4" t="inlineStr">
        <is>
          <t>Percentage who had One or More Capillary or Venous Lead Blood Test for Lead Poisoning by their Second Birthday</t>
        </is>
      </c>
      <c r="E4" t="inlineStr">
        <is>
          <t>Higher values are better</t>
        </is>
      </c>
      <c r="F4" t="inlineStr">
        <is>
          <t>Mathematica analysis of the Quality Measure Reporting (QMR) system reports for the 2023 Core Set as of May 16, 2024.</t>
        </is>
      </c>
      <c r="G4"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4" t="n">
        <v>0.344</v>
      </c>
      <c r="I4" s="4" t="n">
        <v>0.57</v>
      </c>
      <c r="J4" s="4" t="n">
        <v>0.8159999999999999</v>
      </c>
      <c r="K4" s="4" t="n">
        <v>0.169</v>
      </c>
      <c r="L4" s="4" t="n">
        <v>0.396</v>
      </c>
      <c r="M4" s="4" t="n">
        <v>0.68</v>
      </c>
    </row>
    <row r="5">
      <c r="A5" t="n">
        <v>2023</v>
      </c>
      <c r="B5" t="inlineStr">
        <is>
          <t>CHIP only</t>
        </is>
      </c>
      <c r="C5" t="inlineStr"/>
      <c r="D5" t="inlineStr">
        <is>
          <t>Percentage who had One or More Capillary or Venous Lead Blood Test for Lead Poisoning by their Second Birthday</t>
        </is>
      </c>
      <c r="E5" t="inlineStr">
        <is>
          <t>Higher values are better</t>
        </is>
      </c>
      <c r="F5" t="inlineStr">
        <is>
          <t>Mathematica analysis of the Quality Measure Reporting (QMR) system reports for the 2023 Core Set as of May 16, 2024.</t>
        </is>
      </c>
      <c r="G5" t="inlineStr">
        <is>
          <t>State-specific comments: None</t>
        </is>
      </c>
      <c r="H5" t="inlineStr">
        <is>
          <t>Not Reported</t>
        </is>
      </c>
      <c r="I5" s="4" t="n">
        <v>0.57</v>
      </c>
      <c r="J5" s="4" t="n">
        <v>0.8159999999999999</v>
      </c>
      <c r="K5" s="4" t="n">
        <v>0.169</v>
      </c>
      <c r="L5" s="4" t="n">
        <v>0.396</v>
      </c>
      <c r="M5" s="4" t="n">
        <v>0.68</v>
      </c>
    </row>
    <row r="6">
      <c r="A6" t="n">
        <v>2024</v>
      </c>
      <c r="B6" t="inlineStr">
        <is>
          <t>Medicaid (Title XIX), Title XXI-funded Medicaid Expansion CHIP, Separate CHIP (Title XXI)</t>
        </is>
      </c>
      <c r="C6" t="inlineStr">
        <is>
          <t>Administrative &amp; Hybrid</t>
        </is>
      </c>
      <c r="D6" t="inlineStr">
        <is>
          <t>Percentage who had One or More Capillary or Venous Lead Blood Test for Lead Poisoning by their Second Birthday</t>
        </is>
      </c>
      <c r="E6" t="inlineStr">
        <is>
          <t>Higher values are better</t>
        </is>
      </c>
      <c r="F6" t="inlineStr">
        <is>
          <t>Mathematica analysis of the Quality Measure Reporting (QMR) system reports for the 2024 Core Set as of April 28, 2025.</t>
        </is>
      </c>
      <c r="G6" t="inlineStr">
        <is>
          <t>State-specific comments: Rate combines the Medicaid and separate CHIP data reported by the state in the QMR system. See Medicaid and separate CHIP state-specific comments for information about the data reported for each population.</t>
        </is>
      </c>
      <c r="H6" s="4" t="n">
        <v>0.485</v>
      </c>
      <c r="I6" s="4" t="n">
        <v>0.581</v>
      </c>
      <c r="J6" s="4" t="n">
        <v>0.791</v>
      </c>
      <c r="K6" s="4" t="n">
        <v>0.158</v>
      </c>
      <c r="L6" s="4" t="n">
        <v>0.348</v>
      </c>
      <c r="M6" s="4" t="n">
        <v>0.6830000000000001</v>
      </c>
    </row>
    <row r="7">
      <c r="A7" t="n">
        <v>2024</v>
      </c>
      <c r="B7" t="inlineStr">
        <is>
          <t>Medicaid (Title XIX), Title XXI-funded Medicaid Expansion CHIP</t>
        </is>
      </c>
      <c r="C7" t="inlineStr">
        <is>
          <t>Administrative &amp; Hybrid</t>
        </is>
      </c>
      <c r="D7" t="inlineStr">
        <is>
          <t>Percentage who had One or More Capillary or Venous Lead Blood Test for Lead Poisoning by their Second Birthday</t>
        </is>
      </c>
      <c r="E7" t="inlineStr">
        <is>
          <t>Higher values are better</t>
        </is>
      </c>
      <c r="F7" t="inlineStr">
        <is>
          <t>Mathematica analysis of the Quality Measure Reporting (QMR) system reports for the 2024 Core Set as of April 28, 2025.</t>
        </is>
      </c>
      <c r="G7"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derived using both administrative and hybrid method data. Hybrid data was collected for State of Texas Access Reform (STAR) and STAR Kids, while STAR Health and FFS contributed administrative data. Rate was audited or validated.</t>
        </is>
      </c>
      <c r="H7" s="4" t="n">
        <v>0.485</v>
      </c>
      <c r="I7" s="4" t="n">
        <v>0.581</v>
      </c>
      <c r="J7" s="4" t="n">
        <v>0.791</v>
      </c>
      <c r="K7" s="4" t="n">
        <v>0.158</v>
      </c>
      <c r="L7" s="4" t="n">
        <v>0.348</v>
      </c>
      <c r="M7" s="4" t="n">
        <v>0.6830000000000001</v>
      </c>
    </row>
    <row r="8">
      <c r="A8" t="n">
        <v>2024</v>
      </c>
      <c r="B8" t="inlineStr">
        <is>
          <t>Separate CHIP (Title XXI)</t>
        </is>
      </c>
      <c r="C8" t="inlineStr">
        <is>
          <t>Administrative</t>
        </is>
      </c>
      <c r="D8" t="inlineStr">
        <is>
          <t>Percentage who had One or More Capillary or Venous Lead Blood Test for Lead Poisoning by their Second Birthday</t>
        </is>
      </c>
      <c r="E8" t="inlineStr">
        <is>
          <t>Higher values are better</t>
        </is>
      </c>
      <c r="F8" t="inlineStr">
        <is>
          <t>Mathematica analysis of the Quality Measure Reporting (QMR) system reports for the 2024 Core Set as of April 28, 2025.</t>
        </is>
      </c>
      <c r="G8" t="inlineStr">
        <is>
          <t>State-specific comments: Separate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8" s="4" t="n">
        <v>0.497</v>
      </c>
      <c r="I8" s="4" t="n">
        <v>0.581</v>
      </c>
      <c r="J8" s="4" t="n">
        <v>0.791</v>
      </c>
      <c r="K8" s="4" t="n">
        <v>0.158</v>
      </c>
      <c r="L8" s="4" t="n">
        <v>0.348</v>
      </c>
      <c r="M8" s="4" t="n">
        <v>0.6830000000000001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15" customWidth="1" min="2" max="2"/>
    <col width="16" customWidth="1" min="3" max="3"/>
    <col width="58"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Live Births Weighing Less Than 2,500 Grams (LBW-CH)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only</t>
        </is>
      </c>
      <c r="C4" t="inlineStr">
        <is>
          <t>Administrative</t>
        </is>
      </c>
      <c r="D4" t="inlineStr">
        <is>
          <t>Percentage of Live Births Weighing Less Than 2,500 Grams</t>
        </is>
      </c>
      <c r="E4" t="inlineStr">
        <is>
          <t>Lower values are better</t>
        </is>
      </c>
      <c r="F4" t="inlineStr">
        <is>
          <t>Mathematica analysis of the Centers for Disease Control and Prevention Wide-ranging Online Data for Epidemiologic Research (CDC WONDER) data as of February 2, 2023.</t>
        </is>
      </c>
      <c r="G4" t="inlineStr">
        <is>
          <t>State-specific comments: CMS calculated rate using CDC WONDER data.</t>
        </is>
      </c>
      <c r="H4" s="4" t="n">
        <v>0.091</v>
      </c>
      <c r="I4" s="4" t="n">
        <v>0.1</v>
      </c>
      <c r="J4" s="4" t="n">
        <v>0.138</v>
      </c>
      <c r="K4" s="4" t="n">
        <v>0.075</v>
      </c>
      <c r="L4" s="4" t="n">
        <v>0.089</v>
      </c>
      <c r="M4" s="4" t="n">
        <v>0.11</v>
      </c>
    </row>
    <row r="5">
      <c r="A5" t="n">
        <v>2022</v>
      </c>
      <c r="B5" t="inlineStr">
        <is>
          <t>Medicaid only</t>
        </is>
      </c>
      <c r="C5" t="inlineStr">
        <is>
          <t>Administrative</t>
        </is>
      </c>
      <c r="D5" t="inlineStr">
        <is>
          <t>Percentage of Live Births Weighing Less Than 2,500 Grams</t>
        </is>
      </c>
      <c r="E5" t="inlineStr">
        <is>
          <t>Lower values are better</t>
        </is>
      </c>
      <c r="F5" t="inlineStr">
        <is>
          <t>Mathematica analysis of the Centers for Disease Control and Prevention Wide-ranging Online Data for Epidemiologic Research (CDC WONDER) data as of February 2, 2023.</t>
        </is>
      </c>
      <c r="G5" t="inlineStr">
        <is>
          <t>State-specific comments: CMS calculated rate using CDC WONDER data.</t>
        </is>
      </c>
      <c r="H5" s="4" t="n">
        <v>0.095</v>
      </c>
      <c r="I5" s="4" t="n">
        <v>0.101</v>
      </c>
      <c r="J5" s="4" t="n">
        <v>0.144</v>
      </c>
      <c r="K5" s="4" t="n">
        <v>0.078</v>
      </c>
      <c r="L5" s="4" t="n">
        <v>0.092</v>
      </c>
      <c r="M5" s="4" t="n">
        <v>0.111</v>
      </c>
    </row>
    <row r="6">
      <c r="A6" t="n">
        <v>2023</v>
      </c>
      <c r="B6" t="inlineStr">
        <is>
          <t>Medicaid only</t>
        </is>
      </c>
      <c r="C6" t="inlineStr">
        <is>
          <t>Administrative</t>
        </is>
      </c>
      <c r="D6" t="inlineStr">
        <is>
          <t>Percentage of Live Births Weighing Less Than 2,500 Grams</t>
        </is>
      </c>
      <c r="E6" t="inlineStr">
        <is>
          <t>Lower values are better</t>
        </is>
      </c>
      <c r="F6" t="inlineStr">
        <is>
          <t>Mathematica analysis of the Centers for Disease Control and Prevention Wide-ranging Online Data for Epidemiologic Research (CDC WONDER) data as of October 26, 2023.</t>
        </is>
      </c>
      <c r="G6" t="inlineStr">
        <is>
          <t>State-specific comments: CMS calculated rate using CDC WONDER data.</t>
        </is>
      </c>
      <c r="H6" s="4" t="n">
        <v>0.096</v>
      </c>
      <c r="I6" s="4" t="n">
        <v>0.104</v>
      </c>
      <c r="J6" s="4" t="n">
        <v>0.148</v>
      </c>
      <c r="K6" s="4" t="n">
        <v>0.075</v>
      </c>
      <c r="L6" s="4" t="n">
        <v>0.092</v>
      </c>
      <c r="M6" s="4" t="n">
        <v>0.114</v>
      </c>
    </row>
    <row r="7">
      <c r="A7" t="n">
        <v>2024</v>
      </c>
      <c r="B7" t="inlineStr">
        <is>
          <t>Medicaid</t>
        </is>
      </c>
      <c r="C7" t="inlineStr">
        <is>
          <t>Administrative</t>
        </is>
      </c>
      <c r="D7" t="inlineStr">
        <is>
          <t>Percentage of Live Births Weighing Less Than 2,500 Grams</t>
        </is>
      </c>
      <c r="E7" t="inlineStr">
        <is>
          <t>Lower values are better</t>
        </is>
      </c>
      <c r="F7" t="inlineStr">
        <is>
          <t>Mathematica analysis of the Centers for Disease Control and Prevention Wide-ranging Online Data for Epidemiologic Research (CDC WONDER) data as of October 30, 2024.</t>
        </is>
      </c>
      <c r="G7" t="inlineStr">
        <is>
          <t>State-specific comments: CMS calculated rate using CDC WONDER data.</t>
        </is>
      </c>
      <c r="H7" s="4" t="n">
        <v>0.094</v>
      </c>
      <c r="I7" s="4" t="n">
        <v>0.102</v>
      </c>
      <c r="J7" s="4" t="n">
        <v>0.15</v>
      </c>
      <c r="K7" s="4" t="n">
        <v>0.077</v>
      </c>
      <c r="L7" s="4" t="n">
        <v>0.091</v>
      </c>
      <c r="M7" s="4" t="n">
        <v>0.112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15"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Low-Risk Cesarean Delivery (LRCD-CH)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only</t>
        </is>
      </c>
      <c r="C4" t="inlineStr">
        <is>
          <t>Administrative</t>
        </is>
      </c>
      <c r="D4" t="inlineStr">
        <is>
          <t>Percentage of Nulliparous, Term, Singleton, in a Cephalic Presentation Births Delivered by Cesarean</t>
        </is>
      </c>
      <c r="E4" t="inlineStr">
        <is>
          <t>Lower values are better</t>
        </is>
      </c>
      <c r="F4" t="inlineStr">
        <is>
          <t>Mathematica analysis of the Centers for Disease Control and Prevention Wide-ranging Online Data for Epidemiologic Research (CDC WONDER) data as of February 2, 2023.</t>
        </is>
      </c>
      <c r="G4" t="inlineStr">
        <is>
          <t>State-specific comments: CMS calculated rate using CDC WONDER data.</t>
        </is>
      </c>
      <c r="H4" s="4" t="n">
        <v>0.269</v>
      </c>
      <c r="I4" s="4" t="n">
        <v>0.245</v>
      </c>
      <c r="J4" s="4" t="n">
        <v>0.46</v>
      </c>
      <c r="K4" s="4" t="n">
        <v>0.165</v>
      </c>
      <c r="L4" s="4" t="n">
        <v>0.217</v>
      </c>
      <c r="M4" s="4" t="n">
        <v>0.263</v>
      </c>
    </row>
    <row r="5">
      <c r="A5" t="n">
        <v>2022</v>
      </c>
      <c r="B5" t="inlineStr">
        <is>
          <t>Medicaid only</t>
        </is>
      </c>
      <c r="C5" t="inlineStr">
        <is>
          <t>Administrative</t>
        </is>
      </c>
      <c r="D5" t="inlineStr">
        <is>
          <t>Percentage of Nulliparous, Term, Singleton, in a Cephalic Presentation Births Delivered by Cesarean</t>
        </is>
      </c>
      <c r="E5" t="inlineStr">
        <is>
          <t>Lower values are better</t>
        </is>
      </c>
      <c r="F5" t="inlineStr">
        <is>
          <t>Mathematica analysis of the Centers for Disease Control and Prevention Wide-ranging Online Data for Epidemiologic Research (CDC WONDER) data as of February 2, 2023.</t>
        </is>
      </c>
      <c r="G5" t="inlineStr">
        <is>
          <t>State-specific comments: CMS calculated rate using CDC WONDER data.</t>
        </is>
      </c>
      <c r="H5" s="4" t="n">
        <v>0.267</v>
      </c>
      <c r="I5" s="4" t="n">
        <v>0.247</v>
      </c>
      <c r="J5" s="4" t="n">
        <v>0.472</v>
      </c>
      <c r="K5" s="4" t="n">
        <v>0.173</v>
      </c>
      <c r="L5" s="4" t="n">
        <v>0.225</v>
      </c>
      <c r="M5" s="4" t="n">
        <v>0.269</v>
      </c>
    </row>
    <row r="6">
      <c r="A6" t="n">
        <v>2023</v>
      </c>
      <c r="B6" t="inlineStr">
        <is>
          <t>Medicaid only</t>
        </is>
      </c>
      <c r="C6" t="inlineStr">
        <is>
          <t>Administrative</t>
        </is>
      </c>
      <c r="D6" t="inlineStr">
        <is>
          <t>Percentage of Nulliparous, Term, Singleton, in a Cephalic Presentation Births Delivered by Cesarean</t>
        </is>
      </c>
      <c r="E6" t="inlineStr">
        <is>
          <t>Lower values are better</t>
        </is>
      </c>
      <c r="F6" t="inlineStr">
        <is>
          <t>Mathematica analysis of the Centers for Disease Control and Prevention Wide-ranging Online Data for Epidemiologic Research (CDC WONDER) data as of October 26, 2023.</t>
        </is>
      </c>
      <c r="G6" t="inlineStr">
        <is>
          <t>State-specific comments: CMS calculated rate using CDC WONDER data.</t>
        </is>
      </c>
      <c r="H6" s="4" t="n">
        <v>0.257</v>
      </c>
      <c r="I6" s="4" t="n">
        <v>0.242</v>
      </c>
      <c r="J6" s="4" t="n">
        <v>0.487</v>
      </c>
      <c r="K6" s="4" t="n">
        <v>0.151</v>
      </c>
      <c r="L6" s="4" t="n">
        <v>0.223</v>
      </c>
      <c r="M6" s="4" t="n">
        <v>0.266</v>
      </c>
    </row>
    <row r="7">
      <c r="A7" t="n">
        <v>2024</v>
      </c>
      <c r="B7" t="inlineStr">
        <is>
          <t>Medicaid</t>
        </is>
      </c>
      <c r="C7" t="inlineStr">
        <is>
          <t>Administrative</t>
        </is>
      </c>
      <c r="D7" t="inlineStr">
        <is>
          <t>Percentage of Nulliparous, Term, Singleton, in a Cephalic Presentation Births Delivered by Cesarean</t>
        </is>
      </c>
      <c r="E7" t="inlineStr">
        <is>
          <t>Lower values are better</t>
        </is>
      </c>
      <c r="F7" t="inlineStr">
        <is>
          <t>Mathematica analysis of the Centers for Disease Control and Prevention Wide-ranging Online Data for Epidemiologic Research (CDC WONDER) data as of October 30, 2024.</t>
        </is>
      </c>
      <c r="G7" t="inlineStr">
        <is>
          <t>State-specific comments: CMS calculated rate using CDC WONDER data.</t>
        </is>
      </c>
      <c r="H7" s="4" t="n">
        <v>0.256</v>
      </c>
      <c r="I7" s="4" t="n">
        <v>0.241</v>
      </c>
      <c r="J7" s="4" t="n">
        <v>0.481</v>
      </c>
      <c r="K7" s="4" t="n">
        <v>0.171</v>
      </c>
      <c r="L7" s="4" t="n">
        <v>0.218</v>
      </c>
      <c r="M7" s="4" t="n">
        <v>0.264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34" customWidth="1" min="1" max="1"/>
    <col width="13" customWidth="1" min="2" max="2"/>
    <col width="60" customWidth="1" min="3" max="3"/>
    <col width="13"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Medical Assistance With Smoking and Tobacco Use Cessation: Age 18 and Older (MSC-AD)</t>
        </is>
      </c>
    </row>
    <row r="2">
      <c r="A2" t="inlineStr">
        <is>
          <t>Discussing Cessation Strategies: Due to data source or specification changes, comparisons should only be made within the following Core Set Years: 2021-2022, 2023-2024. See measure information tab for more information.</t>
        </is>
      </c>
      <c r="B2" t="inlineStr"/>
    </row>
    <row r="3">
      <c r="A3" t="inlineStr">
        <is>
          <t>Advising Users to Quit: Due to data source or specification changes, comparisons should only be made within the following Core Set Years: 2021-2022, 2023-2024. See measure information tab for more information.</t>
        </is>
      </c>
      <c r="B3" t="inlineStr"/>
    </row>
    <row r="4">
      <c r="A4" t="inlineStr">
        <is>
          <t>Discussing Cessation Medications: Due to data source or specification changes, comparisons should only be made within the following Core Set Years: 2021-2022, 2023-2024. See measure information tab for more information.</t>
        </is>
      </c>
      <c r="B4" t="inlineStr"/>
    </row>
    <row r="5"/>
    <row r="6">
      <c r="A6" s="1" t="inlineStr">
        <is>
          <t>Rate</t>
        </is>
      </c>
      <c r="B6" s="1" t="inlineStr">
        <is>
          <t>Data Period</t>
        </is>
      </c>
      <c r="C6" s="1" t="inlineStr">
        <is>
          <t>Population</t>
        </is>
      </c>
      <c r="D6" s="1" t="inlineStr">
        <is>
          <t>Methodology</t>
        </is>
      </c>
      <c r="E6" s="1" t="inlineStr">
        <is>
          <t>Value Type</t>
        </is>
      </c>
      <c r="F6" s="1" t="inlineStr">
        <is>
          <t>Value Directionality</t>
        </is>
      </c>
      <c r="G6" s="1" t="inlineStr">
        <is>
          <t>Analysis Source</t>
        </is>
      </c>
      <c r="H6" s="1" t="inlineStr">
        <is>
          <t>Notes</t>
        </is>
      </c>
      <c r="I6" s="1" t="inlineStr">
        <is>
          <t>Value</t>
        </is>
      </c>
      <c r="J6" s="1" t="inlineStr">
        <is>
          <t>Median</t>
        </is>
      </c>
      <c r="K6" s="1" t="inlineStr">
        <is>
          <t>Maximum</t>
        </is>
      </c>
      <c r="L6" s="1" t="inlineStr">
        <is>
          <t>Minimum</t>
        </is>
      </c>
      <c r="M6" s="1" t="inlineStr">
        <is>
          <t>First quartile</t>
        </is>
      </c>
      <c r="N6" s="1" t="inlineStr">
        <is>
          <t>Third quartile</t>
        </is>
      </c>
    </row>
    <row r="7">
      <c r="A7" t="inlineStr">
        <is>
          <t>Advising Users to Quit</t>
        </is>
      </c>
      <c r="B7" t="n">
        <v>2021</v>
      </c>
      <c r="C7" t="inlineStr">
        <is>
          <t>Medicaid</t>
        </is>
      </c>
      <c r="D7" t="inlineStr">
        <is>
          <t>CAHPS 5.1H</t>
        </is>
      </c>
      <c r="E7" t="inlineStr">
        <is>
          <t>Percentage of Current Smokers and Tobacco Users Advised to Quit: Ages 18 to 64 Years</t>
        </is>
      </c>
      <c r="F7" t="inlineStr">
        <is>
          <t>Higher values are better</t>
        </is>
      </c>
      <c r="G7" t="inlineStr">
        <is>
          <t>Mathematica analysis of the Quality Measure Reporting (QMR) system reports for the FFY 2021 reporting cycle as of June 1, 2023.</t>
        </is>
      </c>
      <c r="H7" t="inlineStr">
        <is>
          <t>State-specific comments: Rates include managed care population (17 MCOs). Rates were audited or validated.</t>
        </is>
      </c>
      <c r="I7" s="4" t="n">
        <v>0.668</v>
      </c>
      <c r="J7" s="4" t="n">
        <v>0.748</v>
      </c>
      <c r="K7" s="4" t="n">
        <v>0.849</v>
      </c>
      <c r="L7" s="4" t="n">
        <v>0.367</v>
      </c>
      <c r="M7" s="4" t="n">
        <v>0.668</v>
      </c>
      <c r="N7" s="4" t="n">
        <v>0.76</v>
      </c>
    </row>
    <row r="8">
      <c r="A8" t="inlineStr">
        <is>
          <t>Advising Users to Quit</t>
        </is>
      </c>
      <c r="B8" t="n">
        <v>2022</v>
      </c>
      <c r="C8" t="inlineStr">
        <is>
          <t>Medicaid</t>
        </is>
      </c>
      <c r="D8" t="inlineStr">
        <is>
          <t>CAHPS 5.1H</t>
        </is>
      </c>
      <c r="E8" t="inlineStr">
        <is>
          <t>Percentage of Current Smokers and Tobacco Users Advised to Quit: Ages 18 to 64 Years</t>
        </is>
      </c>
      <c r="F8" t="inlineStr">
        <is>
          <t>Higher values are better</t>
        </is>
      </c>
      <c r="G8" t="inlineStr">
        <is>
          <t>Mathematica analysis of the Quality Measure Reporting (QMR) system reports for the FFY 2022 reporting cycle as of June 1, 2023.</t>
        </is>
      </c>
      <c r="H8" t="inlineStr">
        <is>
          <t>State-specific comments: Rates include FFS and managed care populations (17 MCOs). Rates were audited or validated.</t>
        </is>
      </c>
      <c r="I8" s="4" t="n">
        <v>0.61</v>
      </c>
      <c r="J8" s="4" t="n">
        <v>0.726</v>
      </c>
      <c r="K8" s="4" t="n">
        <v>0.876</v>
      </c>
      <c r="L8" s="4" t="n">
        <v>0.524</v>
      </c>
      <c r="M8" s="4" t="n">
        <v>0.646</v>
      </c>
      <c r="N8" s="4" t="n">
        <v>0.744</v>
      </c>
    </row>
    <row r="9">
      <c r="A9" t="inlineStr">
        <is>
          <t>Advising Users to Quit</t>
        </is>
      </c>
      <c r="B9" t="n">
        <v>2023</v>
      </c>
      <c r="C9" t="inlineStr">
        <is>
          <t>Medicaid</t>
        </is>
      </c>
      <c r="D9" t="inlineStr">
        <is>
          <t>CAHPS 5.1H</t>
        </is>
      </c>
      <c r="E9" t="inlineStr">
        <is>
          <t>Percentage of Current Smokers and Tobacco Users Advised to Quit: Ages 18 to 64 Years</t>
        </is>
      </c>
      <c r="F9" t="inlineStr">
        <is>
          <t>Higher values are better</t>
        </is>
      </c>
      <c r="G9" t="inlineStr">
        <is>
          <t>CMS used two data sources for reporting this measure for the 2023 Adult Core Set. The two sources are the AHRQ CAHPS Database for the July 2022 to June 2023 data collection period as of January 24, 2024 and Mathematica analysis of the Quality Measure Reporting (QMR) system reports for the 2023 Core Set as of May 16, 2024. The state-specific comments identify the data source for each state’s rate for the 2023 Core Set.</t>
        </is>
      </c>
      <c r="H9" t="inlineStr">
        <is>
          <t>State-specific comments: Rates were calculated by the state and reported in the QMR system. Rates include FFS and managed care populations (16 MCOs). Rates were audited or validated.</t>
        </is>
      </c>
      <c r="I9" s="4" t="n">
        <v>0.628</v>
      </c>
      <c r="J9" s="4" t="n">
        <v>0.73</v>
      </c>
      <c r="K9" s="4" t="n">
        <v>0.836</v>
      </c>
      <c r="L9" s="4" t="n">
        <v>0.554</v>
      </c>
      <c r="M9" s="4" t="n">
        <v>0.694</v>
      </c>
      <c r="N9" s="4" t="n">
        <v>0.765</v>
      </c>
    </row>
    <row r="10">
      <c r="A10" t="inlineStr">
        <is>
          <t>Advising Users to Quit</t>
        </is>
      </c>
      <c r="B10" t="n">
        <v>2024</v>
      </c>
      <c r="C10" t="inlineStr">
        <is>
          <t>Medicaid (Title XIX), Title XXI-funded Medicaid Expansion CHIP</t>
        </is>
      </c>
      <c r="D10" t="inlineStr">
        <is>
          <t>CAHPS 5.1H</t>
        </is>
      </c>
      <c r="E10" t="inlineStr">
        <is>
          <t>Percentage of Current Smokers and Tobacco Users Advised to Quit: Ages 18 to 64</t>
        </is>
      </c>
      <c r="F10" t="inlineStr">
        <is>
          <t>Higher values are better</t>
        </is>
      </c>
      <c r="G10" t="inlineStr">
        <is>
          <t>CMS used two data sources for reporting this measure for the 2024 Adult Core Set. The two sources are the AHRQ CAHPS Database for the July 2023 to June 2024 data collection period as of January 28, 2025 and Mathematica analysis of the Quality Measure Reporting (QMR) system reports for the 2024 Core Set as of April 28, 2025. The state-specific comments identify the data source for each state's rate for the 2024 Core Set.</t>
        </is>
      </c>
      <c r="H10" t="inlineStr">
        <is>
          <t>State-specific comments: Rates were calculated by the state and reported in the QMR system. Rates include FFS and managed care populations (16 MCOs). Rates were audited or validated.</t>
        </is>
      </c>
      <c r="I10" s="4" t="n">
        <v>0.6889999999999999</v>
      </c>
      <c r="J10" s="4" t="n">
        <v>0.745</v>
      </c>
      <c r="K10" s="4" t="n">
        <v>0.8149999999999999</v>
      </c>
      <c r="L10" s="4" t="n">
        <v>0.572</v>
      </c>
      <c r="M10" s="4" t="n">
        <v>0.698</v>
      </c>
      <c r="N10" s="4" t="n">
        <v>0.771</v>
      </c>
    </row>
    <row r="11">
      <c r="A11" t="inlineStr">
        <is>
          <t>Discussing Cessation Medications</t>
        </is>
      </c>
      <c r="B11" t="n">
        <v>2021</v>
      </c>
      <c r="C11" t="inlineStr">
        <is>
          <t>Medicaid</t>
        </is>
      </c>
      <c r="D11" t="inlineStr">
        <is>
          <t>CAHPS 5.1H</t>
        </is>
      </c>
      <c r="E11" t="inlineStr">
        <is>
          <t>Percentage of Current Smokers and Tobacco Users Discussed or Recommended Cessation Medications: Ages 18 to 64 Years</t>
        </is>
      </c>
      <c r="F11" t="inlineStr">
        <is>
          <t>Higher values are better</t>
        </is>
      </c>
      <c r="G11" t="inlineStr">
        <is>
          <t>Mathematica analysis of the Quality Measure Reporting (QMR) system reports for the FFY 2021 reporting cycle as of June 1, 2023.</t>
        </is>
      </c>
      <c r="H11" t="inlineStr">
        <is>
          <t>State-specific comments: Rates include managed care population (17 MCOs). Rates were audited or validated.</t>
        </is>
      </c>
      <c r="I11" s="4" t="n">
        <v>0.441</v>
      </c>
      <c r="J11" s="4" t="n">
        <v>0.504</v>
      </c>
      <c r="K11" s="4" t="n">
        <v>0.661</v>
      </c>
      <c r="L11" s="4" t="n">
        <v>0.313</v>
      </c>
      <c r="M11" s="4" t="n">
        <v>0.475</v>
      </c>
      <c r="N11" s="4" t="n">
        <v>0.554</v>
      </c>
    </row>
    <row r="12">
      <c r="A12" t="inlineStr">
        <is>
          <t>Discussing Cessation Medications</t>
        </is>
      </c>
      <c r="B12" t="n">
        <v>2022</v>
      </c>
      <c r="C12" t="inlineStr">
        <is>
          <t>Medicaid</t>
        </is>
      </c>
      <c r="D12" t="inlineStr">
        <is>
          <t>CAHPS 5.1H</t>
        </is>
      </c>
      <c r="E12" t="inlineStr">
        <is>
          <t>Percentage of Current Smokers and Tobacco Users Discussed or Recommended Cessation Medications: Ages 18 to 64 Years</t>
        </is>
      </c>
      <c r="F12" t="inlineStr">
        <is>
          <t>Higher values are better</t>
        </is>
      </c>
      <c r="G12" t="inlineStr">
        <is>
          <t>Mathematica analysis of the Quality Measure Reporting (QMR) system reports for the FFY 2022 reporting cycle as of June 1, 2023.</t>
        </is>
      </c>
      <c r="H12" t="inlineStr">
        <is>
          <t>State-specific comments: Rates include FFS and managed care populations (17 MCOs). Rates were audited or validated.</t>
        </is>
      </c>
      <c r="I12" s="4" t="n">
        <v>0.388</v>
      </c>
      <c r="J12" s="4" t="n">
        <v>0.499</v>
      </c>
      <c r="K12" s="4" t="n">
        <v>0.844</v>
      </c>
      <c r="L12" s="4" t="n">
        <v>0.166</v>
      </c>
      <c r="M12" s="4" t="n">
        <v>0.461</v>
      </c>
      <c r="N12" s="4" t="n">
        <v>0.577</v>
      </c>
    </row>
    <row r="13">
      <c r="A13" t="inlineStr">
        <is>
          <t>Discussing Cessation Medications</t>
        </is>
      </c>
      <c r="B13" t="n">
        <v>2023</v>
      </c>
      <c r="C13" t="inlineStr">
        <is>
          <t>Medicaid</t>
        </is>
      </c>
      <c r="D13" t="inlineStr">
        <is>
          <t>CAHPS 5.1H</t>
        </is>
      </c>
      <c r="E13" t="inlineStr">
        <is>
          <t>Percentage of Current Smokers and Tobacco Users Discussed or Recommended Cessation Medications: Ages 18 to 64 Years</t>
        </is>
      </c>
      <c r="F13" t="inlineStr">
        <is>
          <t>Higher values are better</t>
        </is>
      </c>
      <c r="G13" t="inlineStr">
        <is>
          <t>CMS used two data sources for reporting this measure for the 2023 Adult Core Set. The two sources are the AHRQ CAHPS Database for the July 2022 to June 2023 data collection period as of January 24, 2024 and Mathematica analysis of the Quality Measure Reporting (QMR) system reports for the 2023 Core Set as of May 16, 2024. The state-specific comments identify the data source for each state’s rate for the 2023 Core Set.</t>
        </is>
      </c>
      <c r="H13" t="inlineStr">
        <is>
          <t>State-specific comments: Rates were calculated by the state and reported in the QMR system. Rates include FFS and managed care populations (16 MCOs). Rates were audited or validated.</t>
        </is>
      </c>
      <c r="I13" s="4" t="n">
        <v>0.386</v>
      </c>
      <c r="J13" s="4" t="n">
        <v>0.516</v>
      </c>
      <c r="K13" s="4" t="n">
        <v>0.662</v>
      </c>
      <c r="L13" s="4" t="n">
        <v>0.333</v>
      </c>
      <c r="M13" s="4" t="n">
        <v>0.463</v>
      </c>
      <c r="N13" s="4" t="n">
        <v>0.5580000000000001</v>
      </c>
    </row>
    <row r="14">
      <c r="A14" t="inlineStr">
        <is>
          <t>Discussing Cessation Medications</t>
        </is>
      </c>
      <c r="B14" t="n">
        <v>2024</v>
      </c>
      <c r="C14" t="inlineStr">
        <is>
          <t>Medicaid (Title XIX), Title XXI-funded Medicaid Expansion CHIP</t>
        </is>
      </c>
      <c r="D14" t="inlineStr">
        <is>
          <t>CAHPS 5.1H</t>
        </is>
      </c>
      <c r="E14" t="inlineStr">
        <is>
          <t>Percentage of Current Smokers and Tobacco Users Discussed or Recommended Cessation Medications: Ages 18 to 64</t>
        </is>
      </c>
      <c r="F14" t="inlineStr">
        <is>
          <t>Higher values are better</t>
        </is>
      </c>
      <c r="G14" t="inlineStr">
        <is>
          <t>CMS used two data sources for reporting this measure for the 2024 Adult Core Set. The two sources are the AHRQ CAHPS Database for the July 2023 to June 2024 data collection period as of January 28, 2025 and Mathematica analysis of the Quality Measure Reporting (QMR) system reports for the 2024 Core Set as of April 28, 2025. The state-specific comments identify the data source for each state's rate for the 2024 Core Set.</t>
        </is>
      </c>
      <c r="H14" t="inlineStr">
        <is>
          <t>State-specific comments: Rates were calculated by the state and reported in the QMR system. Rates include FFS and managed care populations (16 MCOs). Rates were audited or validated.</t>
        </is>
      </c>
      <c r="I14" s="4" t="n">
        <v>0.446</v>
      </c>
      <c r="J14" s="4" t="n">
        <v>0.529</v>
      </c>
      <c r="K14" s="4" t="n">
        <v>0.627</v>
      </c>
      <c r="L14" s="4" t="n">
        <v>0.324</v>
      </c>
      <c r="M14" s="4" t="n">
        <v>0.469</v>
      </c>
      <c r="N14" s="4" t="n">
        <v>0.5580000000000001</v>
      </c>
    </row>
    <row r="15">
      <c r="A15" t="inlineStr">
        <is>
          <t>Discussing Cessation Strategies</t>
        </is>
      </c>
      <c r="B15" t="n">
        <v>2021</v>
      </c>
      <c r="C15" t="inlineStr">
        <is>
          <t>Medicaid</t>
        </is>
      </c>
      <c r="D15" t="inlineStr">
        <is>
          <t>CAHPS 5.1H</t>
        </is>
      </c>
      <c r="E15" t="inlineStr">
        <is>
          <t>Percentage of Current Smokers and Tobacco Users Discussed or were Provided Other Cessation Methods or Strategies: Ages 18 to 64 Years</t>
        </is>
      </c>
      <c r="F15" t="inlineStr">
        <is>
          <t>Higher values are better</t>
        </is>
      </c>
      <c r="G15" t="inlineStr">
        <is>
          <t>Mathematica analysis of the Quality Measure Reporting (QMR) system reports for the FFY 2021 reporting cycle as of June 1, 2023.</t>
        </is>
      </c>
      <c r="H15" t="inlineStr">
        <is>
          <t>State-specific comments: Rates include managed care population (17 MCOs). Rates were audited or validated.</t>
        </is>
      </c>
      <c r="I15" s="4" t="n">
        <v>0.332</v>
      </c>
      <c r="J15" s="4" t="n">
        <v>0.473</v>
      </c>
      <c r="K15" s="4" t="n">
        <v>0.598</v>
      </c>
      <c r="L15" s="4" t="n">
        <v>0.274</v>
      </c>
      <c r="M15" s="4" t="n">
        <v>0.425</v>
      </c>
      <c r="N15" s="4" t="n">
        <v>0.509</v>
      </c>
    </row>
    <row r="16">
      <c r="A16" t="inlineStr">
        <is>
          <t>Discussing Cessation Strategies</t>
        </is>
      </c>
      <c r="B16" t="n">
        <v>2022</v>
      </c>
      <c r="C16" t="inlineStr">
        <is>
          <t>Medicaid</t>
        </is>
      </c>
      <c r="D16" t="inlineStr">
        <is>
          <t>CAHPS 5.1H</t>
        </is>
      </c>
      <c r="E16" t="inlineStr">
        <is>
          <t>Percentage of Current Smokers and Tobacco Users Discussed or were Provided Other Cessation Methods or Strategies: Ages 18 to 64 Years</t>
        </is>
      </c>
      <c r="F16" t="inlineStr">
        <is>
          <t>Higher values are better</t>
        </is>
      </c>
      <c r="G16" t="inlineStr">
        <is>
          <t>Mathematica analysis of the Quality Measure Reporting (QMR) system reports for the FFY 2022 reporting cycle as of June 1, 2023.</t>
        </is>
      </c>
      <c r="H16" t="inlineStr">
        <is>
          <t>State-specific comments: Rates include FFS and managed care populations (17 MCOs). Rates were audited or validated.</t>
        </is>
      </c>
      <c r="I16" s="4" t="n">
        <v>0.305</v>
      </c>
      <c r="J16" s="4" t="n">
        <v>0.442</v>
      </c>
      <c r="K16" s="4" t="n">
        <v>0.849</v>
      </c>
      <c r="L16" s="4" t="n">
        <v>0.166</v>
      </c>
      <c r="M16" s="4" t="n">
        <v>0.405</v>
      </c>
      <c r="N16" s="4" t="n">
        <v>0.493</v>
      </c>
    </row>
    <row r="17">
      <c r="A17" t="inlineStr">
        <is>
          <t>Discussing Cessation Strategies</t>
        </is>
      </c>
      <c r="B17" t="n">
        <v>2023</v>
      </c>
      <c r="C17" t="inlineStr">
        <is>
          <t>Medicaid</t>
        </is>
      </c>
      <c r="D17" t="inlineStr">
        <is>
          <t>CAHPS 5.1H</t>
        </is>
      </c>
      <c r="E17" t="inlineStr">
        <is>
          <t>Percentage of Current Smokers and Tobacco Users Discussed or Provided Other Cessation Methods or Strategies: Ages 18 to 64 Years</t>
        </is>
      </c>
      <c r="F17" t="inlineStr">
        <is>
          <t>Higher values are better</t>
        </is>
      </c>
      <c r="G17" t="inlineStr">
        <is>
          <t>CMS used two data sources for reporting this measure for the 2023 Adult Core Set. The two sources are the AHRQ CAHPS Database for the July 2022 to June 2023 data collection period as of January 24, 2024 and Mathematica analysis of the Quality Measure Reporting (QMR) system reports for the 2023 Core Set as of May 16, 2024. The state-specific comments identify the data source for each state’s rate for the 2023 Core Set.</t>
        </is>
      </c>
      <c r="H17" t="inlineStr">
        <is>
          <t>State-specific comments: Rates were calculated by the state and reported in the QMR system. Rates include FFS and managed care populations (16 MCOs). Rates were audited or validated.</t>
        </is>
      </c>
      <c r="I17" s="4" t="n">
        <v>0.325</v>
      </c>
      <c r="J17" s="4" t="n">
        <v>0.433</v>
      </c>
      <c r="K17" s="4" t="n">
        <v>0.598</v>
      </c>
      <c r="L17" s="4" t="n">
        <v>0.279</v>
      </c>
      <c r="M17" s="4" t="n">
        <v>0.415</v>
      </c>
      <c r="N17" s="4" t="n">
        <v>0.484</v>
      </c>
    </row>
    <row r="18">
      <c r="A18" t="inlineStr">
        <is>
          <t>Discussing Cessation Strategies</t>
        </is>
      </c>
      <c r="B18" t="n">
        <v>2024</v>
      </c>
      <c r="C18" t="inlineStr">
        <is>
          <t>Medicaid (Title XIX), Title XXI-funded Medicaid Expansion CHIP</t>
        </is>
      </c>
      <c r="D18" t="inlineStr">
        <is>
          <t>CAHPS 5.1H</t>
        </is>
      </c>
      <c r="E18" t="inlineStr">
        <is>
          <t>Percentage of Current Smokers and Tobacco Users Discussed or Provided Other Cessation Methods or Strategies: Ages 18 to 64</t>
        </is>
      </c>
      <c r="F18" t="inlineStr">
        <is>
          <t>Higher values are better</t>
        </is>
      </c>
      <c r="G18" t="inlineStr">
        <is>
          <t>CMS used two data sources for reporting this measure for the 2024 Adult Core Set. The two sources are the AHRQ CAHPS Database for the July 2023 to June 2024 data collection period as of January 28, 2025 and Mathematica analysis of the Quality Measure Reporting (QMR) system reports for the 2024 Core Set as of April 28, 2025. The state-specific comments identify the data source for each state's rate for the 2024 Core Set.</t>
        </is>
      </c>
      <c r="H18" t="inlineStr">
        <is>
          <t>State-specific comments: Rates were calculated by the state and reported in the QMR system. Rates include FFS and managed care populations (16 MCOs). Rates were audited or validated.</t>
        </is>
      </c>
      <c r="I18" s="4" t="n">
        <v>0.345</v>
      </c>
      <c r="J18" s="4" t="n">
        <v>0.462</v>
      </c>
      <c r="K18" s="4" t="n">
        <v>0.598</v>
      </c>
      <c r="L18" s="4" t="n">
        <v>0.252</v>
      </c>
      <c r="M18" s="4" t="n">
        <v>0.416</v>
      </c>
      <c r="N18" s="4" t="n">
        <v>0.487</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cols>
    <col width="39" customWidth="1" min="1" max="1"/>
    <col width="22" customWidth="1" min="2" max="2"/>
    <col width="13" customWidth="1" min="3" max="3"/>
    <col width="60" customWidth="1" min="4" max="4"/>
    <col width="16" customWidth="1" min="5" max="5"/>
    <col width="60" customWidth="1" min="6" max="6"/>
    <col width="26" customWidth="1" min="7" max="7"/>
    <col width="60" customWidth="1" min="8" max="8"/>
    <col width="60" customWidth="1" min="9" max="9"/>
    <col width="7" customWidth="1" min="10" max="10"/>
    <col width="8" customWidth="1" min="11" max="11"/>
    <col width="9" customWidth="1" min="12" max="12"/>
    <col width="9" customWidth="1" min="13" max="13"/>
    <col width="16" customWidth="1" min="14" max="14"/>
    <col width="16" customWidth="1" min="15" max="15"/>
  </cols>
  <sheetData>
    <row r="1">
      <c r="A1" t="inlineStr">
        <is>
          <t>Measure Name</t>
        </is>
      </c>
      <c r="B1" t="inlineStr">
        <is>
          <t>Metabolic Monitoring for Children and Adolescents on Antipsychotics: Ages 1 to 17 (APM-CH)</t>
        </is>
      </c>
    </row>
    <row r="2"/>
    <row r="3">
      <c r="A3" s="1" t="inlineStr">
        <is>
          <t>Rate</t>
        </is>
      </c>
      <c r="B3" s="1" t="inlineStr">
        <is>
          <t>Age</t>
        </is>
      </c>
      <c r="C3" s="1" t="inlineStr">
        <is>
          <t>Data Period</t>
        </is>
      </c>
      <c r="D3" s="1" t="inlineStr">
        <is>
          <t>Population</t>
        </is>
      </c>
      <c r="E3" s="1" t="inlineStr">
        <is>
          <t>Methodology</t>
        </is>
      </c>
      <c r="F3" s="1" t="inlineStr">
        <is>
          <t>Value Type</t>
        </is>
      </c>
      <c r="G3" s="1" t="inlineStr">
        <is>
          <t>Value Directionality</t>
        </is>
      </c>
      <c r="H3" s="1" t="inlineStr">
        <is>
          <t>Analysis Source</t>
        </is>
      </c>
      <c r="I3" s="1" t="inlineStr">
        <is>
          <t>Notes</t>
        </is>
      </c>
      <c r="J3" s="1" t="inlineStr">
        <is>
          <t>Value</t>
        </is>
      </c>
      <c r="K3" s="1" t="inlineStr">
        <is>
          <t>Median</t>
        </is>
      </c>
      <c r="L3" s="1" t="inlineStr">
        <is>
          <t>Maximum</t>
        </is>
      </c>
      <c r="M3" s="1" t="inlineStr">
        <is>
          <t>Minimum</t>
        </is>
      </c>
      <c r="N3" s="1" t="inlineStr">
        <is>
          <t>First quartile</t>
        </is>
      </c>
      <c r="O3" s="1" t="inlineStr">
        <is>
          <t>Third quartile</t>
        </is>
      </c>
    </row>
    <row r="4">
      <c r="A4" t="inlineStr">
        <is>
          <t>Blood Glucose Testing</t>
        </is>
      </c>
      <c r="B4" t="inlineStr">
        <is>
          <t>Ages 1 to 11</t>
        </is>
      </c>
      <c r="C4" t="n">
        <v>2024</v>
      </c>
      <c r="D4" t="inlineStr">
        <is>
          <t>Medicaid (Title XIX), Title XXI-funded Medicaid Expansion CHIP, Separate CHIP (Title XXI)</t>
        </is>
      </c>
      <c r="E4" t="inlineStr">
        <is>
          <t>Administrative</t>
        </is>
      </c>
      <c r="F4" t="inlineStr">
        <is>
          <t>Percentage with Two or More Antipsychotic Prescriptions that had Metabolic Testing for Blood Glucose: Ages 1 to 11</t>
        </is>
      </c>
      <c r="G4" t="inlineStr">
        <is>
          <t>Higher values are better</t>
        </is>
      </c>
      <c r="H4" t="inlineStr">
        <is>
          <t>Mathematica analysis of the Quality Measure Reporting (QMR) system reports for the 2024 Core Set as of April 28, 2025.</t>
        </is>
      </c>
      <c r="I4" t="inlineStr">
        <is>
          <t>State-specific comments: Rate combines the Medicaid and separate CHIP data reported by the state in the QMR system. See Medicaid and separate CHIP state-specific comments for information about the data reported for each population.</t>
        </is>
      </c>
      <c r="J4" s="4" t="n">
        <v>0.468</v>
      </c>
      <c r="K4" s="4" t="n">
        <v>0.436</v>
      </c>
      <c r="L4" s="4" t="n">
        <v>0.751</v>
      </c>
      <c r="M4" s="4" t="n">
        <v>0.231</v>
      </c>
      <c r="N4" s="4" t="n">
        <v>0.376</v>
      </c>
      <c r="O4" s="4" t="n">
        <v>0.505</v>
      </c>
    </row>
    <row r="5">
      <c r="A5" t="inlineStr">
        <is>
          <t>Blood Glucose Testing</t>
        </is>
      </c>
      <c r="B5" t="inlineStr">
        <is>
          <t>Ages 1 to 11</t>
        </is>
      </c>
      <c r="C5" t="n">
        <v>2024</v>
      </c>
      <c r="D5" t="inlineStr">
        <is>
          <t>Medicaid (Title XIX), Title XXI-funded Medicaid Expansion CHIP</t>
        </is>
      </c>
      <c r="E5" t="inlineStr">
        <is>
          <t>Administrative</t>
        </is>
      </c>
      <c r="F5" t="inlineStr">
        <is>
          <t>Percentage with Two or More Antipsychotic Prescriptions that had Metabolic Testing for Blood Glucose: Ages 1 to 11</t>
        </is>
      </c>
      <c r="G5" t="inlineStr">
        <is>
          <t>Higher values are better</t>
        </is>
      </c>
      <c r="H5" t="inlineStr">
        <is>
          <t>Mathematica analysis of the Quality Measure Reporting (QMR) system reports for the 2024 Core Set as of April 28, 2025.</t>
        </is>
      </c>
      <c r="I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5" s="4" t="n">
        <v>0.468</v>
      </c>
      <c r="K5" s="4" t="n">
        <v>0.436</v>
      </c>
      <c r="L5" s="4" t="n">
        <v>0.751</v>
      </c>
      <c r="M5" s="4" t="n">
        <v>0.231</v>
      </c>
      <c r="N5" s="4" t="n">
        <v>0.376</v>
      </c>
      <c r="O5" s="4" t="n">
        <v>0.505</v>
      </c>
    </row>
    <row r="6">
      <c r="A6" t="inlineStr">
        <is>
          <t>Blood Glucose Testing</t>
        </is>
      </c>
      <c r="B6" t="inlineStr">
        <is>
          <t>Ages 1 to 11</t>
        </is>
      </c>
      <c r="C6" t="n">
        <v>2024</v>
      </c>
      <c r="D6" t="inlineStr">
        <is>
          <t>Separate CHIP (Title XXI)</t>
        </is>
      </c>
      <c r="E6" t="inlineStr">
        <is>
          <t>Administrative</t>
        </is>
      </c>
      <c r="F6" t="inlineStr">
        <is>
          <t>Percentage with Two or More Antipsychotic Prescriptions that had Metabolic Testing for Blood Glucose: Ages 1 to 11</t>
        </is>
      </c>
      <c r="G6" t="inlineStr">
        <is>
          <t>Higher values are better</t>
        </is>
      </c>
      <c r="H6" t="inlineStr">
        <is>
          <t>Mathematica analysis of the Quality Measure Reporting (QMR) system reports for the 2024 Core Set as of April 28, 2025.</t>
        </is>
      </c>
      <c r="I6"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6" s="4" t="n">
        <v>0.486</v>
      </c>
      <c r="K6" s="4" t="n">
        <v>0.436</v>
      </c>
      <c r="L6" s="4" t="n">
        <v>0.751</v>
      </c>
      <c r="M6" s="4" t="n">
        <v>0.231</v>
      </c>
      <c r="N6" s="4" t="n">
        <v>0.376</v>
      </c>
      <c r="O6" s="4" t="n">
        <v>0.505</v>
      </c>
    </row>
    <row r="7">
      <c r="A7" t="inlineStr">
        <is>
          <t>Blood Glucose Testing</t>
        </is>
      </c>
      <c r="B7" t="inlineStr">
        <is>
          <t>Ages 12 to 17</t>
        </is>
      </c>
      <c r="C7" t="n">
        <v>2024</v>
      </c>
      <c r="D7" t="inlineStr">
        <is>
          <t>Medicaid (Title XIX), Title XXI-funded Medicaid Expansion CHIP, Separate CHIP (Title XXI)</t>
        </is>
      </c>
      <c r="E7" t="inlineStr">
        <is>
          <t>Administrative</t>
        </is>
      </c>
      <c r="F7" t="inlineStr">
        <is>
          <t>Percentage with Two or More Antipsychotic Prescriptions that had Metabolic Testing for Blood Glucose: Ages 12 to 17</t>
        </is>
      </c>
      <c r="G7" t="inlineStr">
        <is>
          <t>Higher values are better</t>
        </is>
      </c>
      <c r="H7" t="inlineStr">
        <is>
          <t>Mathematica analysis of the Quality Measure Reporting (QMR) system reports for the 2024 Core Set as of April 28, 2025.</t>
        </is>
      </c>
      <c r="I7" t="inlineStr">
        <is>
          <t>State-specific comments: Rate combines the Medicaid and separate CHIP data reported by the state in the QMR system. See Medicaid and separate CHIP state-specific comments for information about the data reported for each population.</t>
        </is>
      </c>
      <c r="J7" s="4" t="n">
        <v>0.638</v>
      </c>
      <c r="K7" s="4" t="n">
        <v>0.597</v>
      </c>
      <c r="L7" s="4" t="n">
        <v>0.898</v>
      </c>
      <c r="M7" s="4" t="n">
        <v>0.397</v>
      </c>
      <c r="N7" s="4" t="n">
        <v>0.551</v>
      </c>
      <c r="O7" s="4" t="n">
        <v>0.638</v>
      </c>
    </row>
    <row r="8">
      <c r="A8" t="inlineStr">
        <is>
          <t>Blood Glucose Testing</t>
        </is>
      </c>
      <c r="B8" t="inlineStr">
        <is>
          <t>Ages 12 to 17</t>
        </is>
      </c>
      <c r="C8" t="n">
        <v>2024</v>
      </c>
      <c r="D8" t="inlineStr">
        <is>
          <t>Medicaid (Title XIX), Title XXI-funded Medicaid Expansion CHIP</t>
        </is>
      </c>
      <c r="E8" t="inlineStr">
        <is>
          <t>Administrative</t>
        </is>
      </c>
      <c r="F8" t="inlineStr">
        <is>
          <t>Percentage with Two or More Antipsychotic Prescriptions that had Metabolic Testing for Blood Glucose: Ages 12 to 17</t>
        </is>
      </c>
      <c r="G8" t="inlineStr">
        <is>
          <t>Higher values are better</t>
        </is>
      </c>
      <c r="H8" t="inlineStr">
        <is>
          <t>Mathematica analysis of the Quality Measure Reporting (QMR) system reports for the 2024 Core Set as of April 28, 2025.</t>
        </is>
      </c>
      <c r="I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8" s="4" t="n">
        <v>0.637</v>
      </c>
      <c r="K8" s="4" t="n">
        <v>0.597</v>
      </c>
      <c r="L8" s="4" t="n">
        <v>0.898</v>
      </c>
      <c r="M8" s="4" t="n">
        <v>0.397</v>
      </c>
      <c r="N8" s="4" t="n">
        <v>0.551</v>
      </c>
      <c r="O8" s="4" t="n">
        <v>0.638</v>
      </c>
    </row>
    <row r="9">
      <c r="A9" t="inlineStr">
        <is>
          <t>Blood Glucose Testing</t>
        </is>
      </c>
      <c r="B9" t="inlineStr">
        <is>
          <t>Ages 12 to 17</t>
        </is>
      </c>
      <c r="C9" t="n">
        <v>2024</v>
      </c>
      <c r="D9" t="inlineStr">
        <is>
          <t>Separate CHIP (Title XXI)</t>
        </is>
      </c>
      <c r="E9" t="inlineStr">
        <is>
          <t>Administrative</t>
        </is>
      </c>
      <c r="F9" t="inlineStr">
        <is>
          <t>Percentage with Two or More Antipsychotic Prescriptions that had Metabolic Testing for Blood Glucose: Ages 12 to 17</t>
        </is>
      </c>
      <c r="G9" t="inlineStr">
        <is>
          <t>Higher values are better</t>
        </is>
      </c>
      <c r="H9" t="inlineStr">
        <is>
          <t>Mathematica analysis of the Quality Measure Reporting (QMR) system reports for the 2024 Core Set as of April 28, 2025.</t>
        </is>
      </c>
      <c r="I9"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9" s="4" t="n">
        <v>0.667</v>
      </c>
      <c r="K9" s="4" t="n">
        <v>0.597</v>
      </c>
      <c r="L9" s="4" t="n">
        <v>0.898</v>
      </c>
      <c r="M9" s="4" t="n">
        <v>0.397</v>
      </c>
      <c r="N9" s="4" t="n">
        <v>0.551</v>
      </c>
      <c r="O9" s="4" t="n">
        <v>0.638</v>
      </c>
    </row>
    <row r="10">
      <c r="A10" t="inlineStr">
        <is>
          <t>Blood Glucose Testing</t>
        </is>
      </c>
      <c r="B10" t="inlineStr">
        <is>
          <t>Total (Ages 1 to 17)</t>
        </is>
      </c>
      <c r="C10" t="n">
        <v>2024</v>
      </c>
      <c r="D10" t="inlineStr">
        <is>
          <t>Medicaid (Title XIX), Title XXI-funded Medicaid Expansion CHIP, Separate CHIP (Title XXI)</t>
        </is>
      </c>
      <c r="E10" t="inlineStr">
        <is>
          <t>Administrative</t>
        </is>
      </c>
      <c r="F10" t="inlineStr">
        <is>
          <t>Percentage with Two or More Antipsychotic Prescriptions that had Metabolic Testing for Blood Glucose: Ages 1 to 17</t>
        </is>
      </c>
      <c r="G10" t="inlineStr">
        <is>
          <t>Higher values are better</t>
        </is>
      </c>
      <c r="H10" t="inlineStr">
        <is>
          <t>Mathematica analysis of the Quality Measure Reporting (QMR) system reports for the 2024 Core Set as of April 28, 2025.</t>
        </is>
      </c>
      <c r="I10" t="inlineStr">
        <is>
          <t>State-specific comments: Rate combines the Medicaid and separate CHIP data reported by the state in the QMR system. See Medicaid and separate CHIP state-specific comments for information about the data reported for each population.</t>
        </is>
      </c>
      <c r="J10" s="4" t="n">
        <v>0.575</v>
      </c>
      <c r="K10" s="4" t="n">
        <v>0.546</v>
      </c>
      <c r="L10" s="4" t="n">
        <v>0.851</v>
      </c>
      <c r="M10" s="4" t="n">
        <v>0.351</v>
      </c>
      <c r="N10" s="4" t="n">
        <v>0.504</v>
      </c>
      <c r="O10" s="4" t="n">
        <v>0.596</v>
      </c>
    </row>
    <row r="11">
      <c r="A11" t="inlineStr">
        <is>
          <t>Blood Glucose Testing</t>
        </is>
      </c>
      <c r="B11" t="inlineStr">
        <is>
          <t>Total (Ages 1 to 17)</t>
        </is>
      </c>
      <c r="C11" t="n">
        <v>2024</v>
      </c>
      <c r="D11" t="inlineStr">
        <is>
          <t>Medicaid (Title XIX), Title XXI-funded Medicaid Expansion CHIP</t>
        </is>
      </c>
      <c r="E11" t="inlineStr">
        <is>
          <t>Administrative</t>
        </is>
      </c>
      <c r="F11" t="inlineStr">
        <is>
          <t>Percentage with Two or More Antipsychotic Prescriptions that had Metabolic Testing for Blood Glucose: Ages 1 to 17</t>
        </is>
      </c>
      <c r="G11" t="inlineStr">
        <is>
          <t>Higher values are better</t>
        </is>
      </c>
      <c r="H11" t="inlineStr">
        <is>
          <t>Mathematica analysis of the Quality Measure Reporting (QMR) system reports for the 2024 Core Set as of April 28, 2025.</t>
        </is>
      </c>
      <c r="I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1" s="4" t="n">
        <v>0.575</v>
      </c>
      <c r="K11" s="4" t="n">
        <v>0.546</v>
      </c>
      <c r="L11" s="4" t="n">
        <v>0.851</v>
      </c>
      <c r="M11" s="4" t="n">
        <v>0.351</v>
      </c>
      <c r="N11" s="4" t="n">
        <v>0.504</v>
      </c>
      <c r="O11" s="4" t="n">
        <v>0.596</v>
      </c>
    </row>
    <row r="12">
      <c r="A12" t="inlineStr">
        <is>
          <t>Blood Glucose Testing</t>
        </is>
      </c>
      <c r="B12" t="inlineStr">
        <is>
          <t>Total (Ages 1 to 17)</t>
        </is>
      </c>
      <c r="C12" t="n">
        <v>2024</v>
      </c>
      <c r="D12" t="inlineStr">
        <is>
          <t>Separate CHIP (Title XXI)</t>
        </is>
      </c>
      <c r="E12" t="inlineStr">
        <is>
          <t>Administrative</t>
        </is>
      </c>
      <c r="F12" t="inlineStr">
        <is>
          <t>Percentage with Two or More Antipsychotic Prescriptions that had Metabolic Testing for Blood Glucose: Ages 1 to 17</t>
        </is>
      </c>
      <c r="G12" t="inlineStr">
        <is>
          <t>Higher values are better</t>
        </is>
      </c>
      <c r="H12" t="inlineStr">
        <is>
          <t>Mathematica analysis of the Quality Measure Reporting (QMR) system reports for the 2024 Core Set as of April 28, 2025.</t>
        </is>
      </c>
      <c r="I1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2" s="4" t="n">
        <v>0.617</v>
      </c>
      <c r="K12" s="4" t="n">
        <v>0.546</v>
      </c>
      <c r="L12" s="4" t="n">
        <v>0.851</v>
      </c>
      <c r="M12" s="4" t="n">
        <v>0.351</v>
      </c>
      <c r="N12" s="4" t="n">
        <v>0.504</v>
      </c>
      <c r="O12" s="4" t="n">
        <v>0.596</v>
      </c>
    </row>
    <row r="13">
      <c r="A13" t="inlineStr">
        <is>
          <t>Blood Glucose Testing</t>
        </is>
      </c>
      <c r="B13" t="inlineStr"/>
      <c r="C13" t="n">
        <v>2021</v>
      </c>
      <c r="D13" t="inlineStr">
        <is>
          <t>Medicaid only</t>
        </is>
      </c>
      <c r="E13" t="inlineStr">
        <is>
          <t>Administrative</t>
        </is>
      </c>
      <c r="F13" t="inlineStr">
        <is>
          <t>Percentage with Two or More Antipsychotic Prescriptions that had Metabolic Testing for Blood Glucose: Ages 1 to 17</t>
        </is>
      </c>
      <c r="G13" t="inlineStr">
        <is>
          <t>Higher values are better</t>
        </is>
      </c>
      <c r="H13" t="inlineStr">
        <is>
          <t>Mathematica analysis of the Quality Measure Reporting (QMR) system reports for the FFY 2021 reporting cycle as of June 1, 2023.</t>
        </is>
      </c>
      <c r="I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3" s="4" t="n">
        <v>0.507</v>
      </c>
      <c r="K13" s="4" t="n">
        <v>0.471</v>
      </c>
      <c r="L13" s="4" t="n">
        <v>0.831</v>
      </c>
      <c r="M13" s="4" t="n">
        <v>0.375</v>
      </c>
      <c r="N13" s="4" t="n">
        <v>0.416</v>
      </c>
      <c r="O13" s="4" t="n">
        <v>0.53</v>
      </c>
    </row>
    <row r="14">
      <c r="A14" t="inlineStr">
        <is>
          <t>Blood Glucose Testing</t>
        </is>
      </c>
      <c r="B14" t="inlineStr"/>
      <c r="C14" t="n">
        <v>2021</v>
      </c>
      <c r="D14" t="inlineStr">
        <is>
          <t>CHIP only</t>
        </is>
      </c>
      <c r="E14" t="inlineStr">
        <is>
          <t>Administrative</t>
        </is>
      </c>
      <c r="F14" t="inlineStr">
        <is>
          <t>Percentage with Two or More Antipsychotic Prescriptions that had Metabolic Testing for Blood Glucose: Ages 1 to 17</t>
        </is>
      </c>
      <c r="G14" t="inlineStr">
        <is>
          <t>Higher values are better</t>
        </is>
      </c>
      <c r="H14" t="inlineStr">
        <is>
          <t>Mathematica analysis of the Quality Measure Reporting (QMR) system reports for the FFY 2021 reporting cycle as of June 1, 2023.</t>
        </is>
      </c>
      <c r="I1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4" s="4" t="n">
        <v>0.485</v>
      </c>
      <c r="K14" s="4" t="n">
        <v>0.471</v>
      </c>
      <c r="L14" s="4" t="n">
        <v>0.831</v>
      </c>
      <c r="M14" s="4" t="n">
        <v>0.375</v>
      </c>
      <c r="N14" s="4" t="n">
        <v>0.416</v>
      </c>
      <c r="O14" s="4" t="n">
        <v>0.53</v>
      </c>
    </row>
    <row r="15">
      <c r="A15" t="inlineStr">
        <is>
          <t>Blood Glucose Testing</t>
        </is>
      </c>
      <c r="B15" t="inlineStr"/>
      <c r="C15" t="n">
        <v>2022</v>
      </c>
      <c r="D15" t="inlineStr">
        <is>
          <t>Medicaid only</t>
        </is>
      </c>
      <c r="E15" t="inlineStr">
        <is>
          <t>Administrative</t>
        </is>
      </c>
      <c r="F15" t="inlineStr">
        <is>
          <t>Percentage with Two or More Antipsychotic Prescriptions that had Metabolic Testing for Blood Glucose: Ages 1 to 17</t>
        </is>
      </c>
      <c r="G15" t="inlineStr">
        <is>
          <t>Higher values are better</t>
        </is>
      </c>
      <c r="H15" t="inlineStr">
        <is>
          <t>Mathematica analysis of the Quality Measure Reporting (QMR) system reports for the FFY 2022 reporting cycle as of June 1, 2023.</t>
        </is>
      </c>
      <c r="I1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5" s="4" t="n">
        <v>0.545</v>
      </c>
      <c r="K15" s="4" t="n">
        <v>0.524</v>
      </c>
      <c r="L15" s="4" t="n">
        <v>0.775</v>
      </c>
      <c r="M15" s="4" t="n">
        <v>0.411</v>
      </c>
      <c r="N15" s="4" t="n">
        <v>0.476</v>
      </c>
      <c r="O15" s="4" t="n">
        <v>0.582</v>
      </c>
    </row>
    <row r="16">
      <c r="A16" t="inlineStr">
        <is>
          <t>Blood Glucose Testing</t>
        </is>
      </c>
      <c r="B16" t="inlineStr"/>
      <c r="C16" t="n">
        <v>2022</v>
      </c>
      <c r="D16" t="inlineStr">
        <is>
          <t>CHIP only</t>
        </is>
      </c>
      <c r="E16" t="inlineStr">
        <is>
          <t>Administrative</t>
        </is>
      </c>
      <c r="F16" t="inlineStr">
        <is>
          <t>Percentage with Two or More Antipsychotic Prescriptions that had Metabolic Testing for Blood Glucose: Ages 1 to 17</t>
        </is>
      </c>
      <c r="G16" t="inlineStr">
        <is>
          <t>Higher values are better</t>
        </is>
      </c>
      <c r="H16" t="inlineStr">
        <is>
          <t>Mathematica analysis of the Quality Measure Reporting (QMR) system reports for the FFY 2022 reporting cycle as of June 1, 2023.</t>
        </is>
      </c>
      <c r="I16"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6" s="4" t="n">
        <v>0.546</v>
      </c>
      <c r="K16" s="4" t="n">
        <v>0.524</v>
      </c>
      <c r="L16" s="4" t="n">
        <v>0.775</v>
      </c>
      <c r="M16" s="4" t="n">
        <v>0.411</v>
      </c>
      <c r="N16" s="4" t="n">
        <v>0.476</v>
      </c>
      <c r="O16" s="4" t="n">
        <v>0.582</v>
      </c>
    </row>
    <row r="17">
      <c r="A17" t="inlineStr">
        <is>
          <t>Blood Glucose Testing</t>
        </is>
      </c>
      <c r="B17" t="inlineStr"/>
      <c r="C17" t="n">
        <v>2023</v>
      </c>
      <c r="D17" t="inlineStr">
        <is>
          <t>Medicaid only</t>
        </is>
      </c>
      <c r="E17" t="inlineStr">
        <is>
          <t>Administrative</t>
        </is>
      </c>
      <c r="F17" t="inlineStr">
        <is>
          <t>Percentage with Two or More Antipsychotic Prescriptions that had Metabolic Testing for Blood Glucose: Ages 1 to 17</t>
        </is>
      </c>
      <c r="G17" t="inlineStr">
        <is>
          <t>Higher values are better</t>
        </is>
      </c>
      <c r="H17" t="inlineStr">
        <is>
          <t>Mathematica analysis of the Quality Measure Reporting (QMR) system reports for the 2023 Core Set as of May 16, 2024.</t>
        </is>
      </c>
      <c r="I1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7" s="4" t="n">
        <v>0.555</v>
      </c>
      <c r="K17" s="4" t="n">
        <v>0.531</v>
      </c>
      <c r="L17" s="4" t="n">
        <v>0.842</v>
      </c>
      <c r="M17" s="4" t="n">
        <v>0.37</v>
      </c>
      <c r="N17" s="4" t="n">
        <v>0.484</v>
      </c>
      <c r="O17" s="4" t="n">
        <v>0.59</v>
      </c>
    </row>
    <row r="18">
      <c r="A18" t="inlineStr">
        <is>
          <t>Blood Glucose Testing</t>
        </is>
      </c>
      <c r="B18" t="inlineStr"/>
      <c r="C18" t="n">
        <v>2023</v>
      </c>
      <c r="D18" t="inlineStr">
        <is>
          <t>CHIP only</t>
        </is>
      </c>
      <c r="E18" t="inlineStr">
        <is>
          <t>Administrative</t>
        </is>
      </c>
      <c r="F18" t="inlineStr">
        <is>
          <t>Percentage with Two or More Antipsychotic Prescriptions that had Metabolic Testing for Blood Glucose: Ages 1 to 17</t>
        </is>
      </c>
      <c r="G18" t="inlineStr">
        <is>
          <t>Higher values are better</t>
        </is>
      </c>
      <c r="H18" t="inlineStr">
        <is>
          <t>Mathematica analysis of the Quality Measure Reporting (QMR) system reports for the 2023 Core Set as of May 16, 2024.</t>
        </is>
      </c>
      <c r="I18"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18" s="4" t="n">
        <v>0.5590000000000001</v>
      </c>
      <c r="K18" s="4" t="n">
        <v>0.531</v>
      </c>
      <c r="L18" s="4" t="n">
        <v>0.842</v>
      </c>
      <c r="M18" s="4" t="n">
        <v>0.37</v>
      </c>
      <c r="N18" s="4" t="n">
        <v>0.484</v>
      </c>
      <c r="O18" s="4" t="n">
        <v>0.59</v>
      </c>
    </row>
    <row r="19">
      <c r="A19" t="inlineStr">
        <is>
          <t>Blood Glucose and Cholesterol Testing</t>
        </is>
      </c>
      <c r="B19" t="inlineStr">
        <is>
          <t>Ages 1 to 11</t>
        </is>
      </c>
      <c r="C19" t="n">
        <v>2024</v>
      </c>
      <c r="D19" t="inlineStr">
        <is>
          <t>Medicaid (Title XIX), Title XXI-funded Medicaid Expansion CHIP, Separate CHIP (Title XXI)</t>
        </is>
      </c>
      <c r="E19" t="inlineStr">
        <is>
          <t>Administrative</t>
        </is>
      </c>
      <c r="F19" t="inlineStr">
        <is>
          <t>Percentage with Two or More Antipsychotic Prescriptions that had Metabolic Testing for Blood Glucose and Cholesterol: Ages 1 to 11</t>
        </is>
      </c>
      <c r="G19" t="inlineStr">
        <is>
          <t>Higher values are better</t>
        </is>
      </c>
      <c r="H19" t="inlineStr">
        <is>
          <t>Mathematica analysis of the Quality Measure Reporting (QMR) system reports for the 2024 Core Set as of April 28, 2025.</t>
        </is>
      </c>
      <c r="I19" t="inlineStr">
        <is>
          <t>State-specific comments: Rate combines the Medicaid and separate CHIP data reported by the state in the QMR system. See Medicaid and separate CHIP state-specific comments for information about the data reported for each population.</t>
        </is>
      </c>
      <c r="J19" s="4" t="n">
        <v>0.342</v>
      </c>
      <c r="K19" s="4" t="n">
        <v>0.282</v>
      </c>
      <c r="L19" s="4" t="n">
        <v>0.582</v>
      </c>
      <c r="M19" s="4" t="n">
        <v>0.139</v>
      </c>
      <c r="N19" s="4" t="n">
        <v>0.235</v>
      </c>
      <c r="O19" s="4" t="n">
        <v>0.351</v>
      </c>
    </row>
    <row r="20">
      <c r="A20" t="inlineStr">
        <is>
          <t>Blood Glucose and Cholesterol Testing</t>
        </is>
      </c>
      <c r="B20" t="inlineStr">
        <is>
          <t>Ages 1 to 11</t>
        </is>
      </c>
      <c r="C20" t="n">
        <v>2024</v>
      </c>
      <c r="D20" t="inlineStr">
        <is>
          <t>Medicaid (Title XIX), Title XXI-funded Medicaid Expansion CHIP</t>
        </is>
      </c>
      <c r="E20" t="inlineStr">
        <is>
          <t>Administrative</t>
        </is>
      </c>
      <c r="F20" t="inlineStr">
        <is>
          <t>Percentage with Two or More Antipsychotic Prescriptions that had Metabolic Testing for Blood Glucose and Cholesterol: Ages 1 to 11</t>
        </is>
      </c>
      <c r="G20" t="inlineStr">
        <is>
          <t>Higher values are better</t>
        </is>
      </c>
      <c r="H20" t="inlineStr">
        <is>
          <t>Mathematica analysis of the Quality Measure Reporting (QMR) system reports for the 2024 Core Set as of April 28, 2025.</t>
        </is>
      </c>
      <c r="I2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0" s="4" t="n">
        <v>0.342</v>
      </c>
      <c r="K20" s="4" t="n">
        <v>0.282</v>
      </c>
      <c r="L20" s="4" t="n">
        <v>0.582</v>
      </c>
      <c r="M20" s="4" t="n">
        <v>0.139</v>
      </c>
      <c r="N20" s="4" t="n">
        <v>0.235</v>
      </c>
      <c r="O20" s="4" t="n">
        <v>0.351</v>
      </c>
    </row>
    <row r="21">
      <c r="A21" t="inlineStr">
        <is>
          <t>Blood Glucose and Cholesterol Testing</t>
        </is>
      </c>
      <c r="B21" t="inlineStr">
        <is>
          <t>Ages 1 to 11</t>
        </is>
      </c>
      <c r="C21" t="n">
        <v>2024</v>
      </c>
      <c r="D21" t="inlineStr">
        <is>
          <t>Separate CHIP (Title XXI)</t>
        </is>
      </c>
      <c r="E21" t="inlineStr">
        <is>
          <t>Administrative</t>
        </is>
      </c>
      <c r="F21" t="inlineStr">
        <is>
          <t>Percentage with Two or More Antipsychotic Prescriptions that had Metabolic Testing for Blood Glucose and Cholesterol: Ages 1 to 11</t>
        </is>
      </c>
      <c r="G21" t="inlineStr">
        <is>
          <t>Higher values are better</t>
        </is>
      </c>
      <c r="H21" t="inlineStr">
        <is>
          <t>Mathematica analysis of the Quality Measure Reporting (QMR) system reports for the 2024 Core Set as of April 28, 2025.</t>
        </is>
      </c>
      <c r="I21"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1" s="4" t="n">
        <v>0.405</v>
      </c>
      <c r="K21" s="4" t="n">
        <v>0.282</v>
      </c>
      <c r="L21" s="4" t="n">
        <v>0.582</v>
      </c>
      <c r="M21" s="4" t="n">
        <v>0.139</v>
      </c>
      <c r="N21" s="4" t="n">
        <v>0.235</v>
      </c>
      <c r="O21" s="4" t="n">
        <v>0.351</v>
      </c>
    </row>
    <row r="22">
      <c r="A22" t="inlineStr">
        <is>
          <t>Blood Glucose and Cholesterol Testing</t>
        </is>
      </c>
      <c r="B22" t="inlineStr">
        <is>
          <t>Ages 12 to 17</t>
        </is>
      </c>
      <c r="C22" t="n">
        <v>2024</v>
      </c>
      <c r="D22" t="inlineStr">
        <is>
          <t>Medicaid (Title XIX), Title XXI-funded Medicaid Expansion CHIP, Separate CHIP (Title XXI)</t>
        </is>
      </c>
      <c r="E22" t="inlineStr">
        <is>
          <t>Administrative</t>
        </is>
      </c>
      <c r="F22" t="inlineStr">
        <is>
          <t>Percentage with Two or More Antipsychotic Prescriptions that had Metabolic Testing for Blood Glucose and Cholesterol: Ages 12 to 17</t>
        </is>
      </c>
      <c r="G22" t="inlineStr">
        <is>
          <t>Higher values are better</t>
        </is>
      </c>
      <c r="H22" t="inlineStr">
        <is>
          <t>Mathematica analysis of the Quality Measure Reporting (QMR) system reports for the 2024 Core Set as of April 28, 2025.</t>
        </is>
      </c>
      <c r="I22" t="inlineStr">
        <is>
          <t>State-specific comments: Rate combines the Medicaid and separate CHIP data reported by the state in the QMR system. See Medicaid and separate CHIP state-specific comments for information about the data reported for each population.</t>
        </is>
      </c>
      <c r="J22" s="4" t="n">
        <v>0.443</v>
      </c>
      <c r="K22" s="4" t="n">
        <v>0.373</v>
      </c>
      <c r="L22" s="4" t="n">
        <v>0.582</v>
      </c>
      <c r="M22" s="4" t="n">
        <v>0.206</v>
      </c>
      <c r="N22" s="4" t="n">
        <v>0.305</v>
      </c>
      <c r="O22" s="4" t="n">
        <v>0.439</v>
      </c>
    </row>
    <row r="23">
      <c r="A23" t="inlineStr">
        <is>
          <t>Blood Glucose and Cholesterol Testing</t>
        </is>
      </c>
      <c r="B23" t="inlineStr">
        <is>
          <t>Ages 12 to 17</t>
        </is>
      </c>
      <c r="C23" t="n">
        <v>2024</v>
      </c>
      <c r="D23" t="inlineStr">
        <is>
          <t>Medicaid (Title XIX), Title XXI-funded Medicaid Expansion CHIP</t>
        </is>
      </c>
      <c r="E23" t="inlineStr">
        <is>
          <t>Administrative</t>
        </is>
      </c>
      <c r="F23" t="inlineStr">
        <is>
          <t>Percentage with Two or More Antipsychotic Prescriptions that had Metabolic Testing for Blood Glucose and Cholesterol: Ages 12 to 17</t>
        </is>
      </c>
      <c r="G23" t="inlineStr">
        <is>
          <t>Higher values are better</t>
        </is>
      </c>
      <c r="H23" t="inlineStr">
        <is>
          <t>Mathematica analysis of the Quality Measure Reporting (QMR) system reports for the 2024 Core Set as of April 28, 2025.</t>
        </is>
      </c>
      <c r="I2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3" s="4" t="n">
        <v>0.443</v>
      </c>
      <c r="K23" s="4" t="n">
        <v>0.373</v>
      </c>
      <c r="L23" s="4" t="n">
        <v>0.582</v>
      </c>
      <c r="M23" s="4" t="n">
        <v>0.206</v>
      </c>
      <c r="N23" s="4" t="n">
        <v>0.305</v>
      </c>
      <c r="O23" s="4" t="n">
        <v>0.439</v>
      </c>
    </row>
    <row r="24">
      <c r="A24" t="inlineStr">
        <is>
          <t>Blood Glucose and Cholesterol Testing</t>
        </is>
      </c>
      <c r="B24" t="inlineStr">
        <is>
          <t>Ages 12 to 17</t>
        </is>
      </c>
      <c r="C24" t="n">
        <v>2024</v>
      </c>
      <c r="D24" t="inlineStr">
        <is>
          <t>Separate CHIP (Title XXI)</t>
        </is>
      </c>
      <c r="E24" t="inlineStr">
        <is>
          <t>Administrative</t>
        </is>
      </c>
      <c r="F24" t="inlineStr">
        <is>
          <t>Percentage with Two or More Antipsychotic Prescriptions that had Metabolic Testing for Blood Glucose and Cholesterol: Ages 12 to 17</t>
        </is>
      </c>
      <c r="G24" t="inlineStr">
        <is>
          <t>Higher values are better</t>
        </is>
      </c>
      <c r="H24" t="inlineStr">
        <is>
          <t>Mathematica analysis of the Quality Measure Reporting (QMR) system reports for the 2024 Core Set as of April 28, 2025.</t>
        </is>
      </c>
      <c r="I24"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4" s="4" t="n">
        <v>0.448</v>
      </c>
      <c r="K24" s="4" t="n">
        <v>0.373</v>
      </c>
      <c r="L24" s="4" t="n">
        <v>0.582</v>
      </c>
      <c r="M24" s="4" t="n">
        <v>0.206</v>
      </c>
      <c r="N24" s="4" t="n">
        <v>0.305</v>
      </c>
      <c r="O24" s="4" t="n">
        <v>0.439</v>
      </c>
    </row>
    <row r="25">
      <c r="A25" t="inlineStr">
        <is>
          <t>Blood Glucose and Cholesterol Testing</t>
        </is>
      </c>
      <c r="B25" t="inlineStr">
        <is>
          <t>Total (Ages 1 to 17)</t>
        </is>
      </c>
      <c r="C25" t="n">
        <v>2024</v>
      </c>
      <c r="D25" t="inlineStr">
        <is>
          <t>Medicaid (Title XIX), Title XXI-funded Medicaid Expansion CHIP, Separate CHIP (Title XXI)</t>
        </is>
      </c>
      <c r="E25" t="inlineStr">
        <is>
          <t>Administrative</t>
        </is>
      </c>
      <c r="F25" t="inlineStr">
        <is>
          <t>Percentage with Two or More Antipsychotic Prescriptions that had Metabolic Testing for Blood Glucose and Cholesterol: Ages 1 to 17</t>
        </is>
      </c>
      <c r="G25" t="inlineStr">
        <is>
          <t>Higher values are better</t>
        </is>
      </c>
      <c r="H25" t="inlineStr">
        <is>
          <t>Mathematica analysis of the Quality Measure Reporting (QMR) system reports for the 2024 Core Set as of April 28, 2025.</t>
        </is>
      </c>
      <c r="I25" t="inlineStr">
        <is>
          <t>State-specific comments: Rate combines the Medicaid and separate CHIP data reported by the state in the QMR system. See Medicaid and separate CHIP state-specific comments for information about the data reported for each population.</t>
        </is>
      </c>
      <c r="J25" s="4" t="n">
        <v>0.406</v>
      </c>
      <c r="K25" s="4" t="n">
        <v>0.352</v>
      </c>
      <c r="L25" s="4" t="n">
        <v>0.581</v>
      </c>
      <c r="M25" s="4" t="n">
        <v>0.189</v>
      </c>
      <c r="N25" s="4" t="n">
        <v>0.29</v>
      </c>
      <c r="O25" s="4" t="n">
        <v>0.415</v>
      </c>
    </row>
    <row r="26">
      <c r="A26" t="inlineStr">
        <is>
          <t>Blood Glucose and Cholesterol Testing</t>
        </is>
      </c>
      <c r="B26" t="inlineStr">
        <is>
          <t>Total (Ages 1 to 17)</t>
        </is>
      </c>
      <c r="C26" t="n">
        <v>2024</v>
      </c>
      <c r="D26" t="inlineStr">
        <is>
          <t>Medicaid (Title XIX), Title XXI-funded Medicaid Expansion CHIP</t>
        </is>
      </c>
      <c r="E26" t="inlineStr">
        <is>
          <t>Administrative</t>
        </is>
      </c>
      <c r="F26" t="inlineStr">
        <is>
          <t>Percentage with Two or More Antipsychotic Prescriptions that had Metabolic Testing for Blood Glucose and Cholesterol: Ages 1 to 17</t>
        </is>
      </c>
      <c r="G26" t="inlineStr">
        <is>
          <t>Higher values are better</t>
        </is>
      </c>
      <c r="H26" t="inlineStr">
        <is>
          <t>Mathematica analysis of the Quality Measure Reporting (QMR) system reports for the 2024 Core Set as of April 28, 2025.</t>
        </is>
      </c>
      <c r="I2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6" s="4" t="n">
        <v>0.406</v>
      </c>
      <c r="K26" s="4" t="n">
        <v>0.352</v>
      </c>
      <c r="L26" s="4" t="n">
        <v>0.581</v>
      </c>
      <c r="M26" s="4" t="n">
        <v>0.189</v>
      </c>
      <c r="N26" s="4" t="n">
        <v>0.29</v>
      </c>
      <c r="O26" s="4" t="n">
        <v>0.415</v>
      </c>
    </row>
    <row r="27">
      <c r="A27" t="inlineStr">
        <is>
          <t>Blood Glucose and Cholesterol Testing</t>
        </is>
      </c>
      <c r="B27" t="inlineStr">
        <is>
          <t>Total (Ages 1 to 17)</t>
        </is>
      </c>
      <c r="C27" t="n">
        <v>2024</v>
      </c>
      <c r="D27" t="inlineStr">
        <is>
          <t>Separate CHIP (Title XXI)</t>
        </is>
      </c>
      <c r="E27" t="inlineStr">
        <is>
          <t>Administrative</t>
        </is>
      </c>
      <c r="F27" t="inlineStr">
        <is>
          <t>Percentage with Two or More Antipsychotic Prescriptions that had Metabolic Testing for Blood Glucose and Cholesterol: Ages 1 to 17</t>
        </is>
      </c>
      <c r="G27" t="inlineStr">
        <is>
          <t>Higher values are better</t>
        </is>
      </c>
      <c r="H27" t="inlineStr">
        <is>
          <t>Mathematica analysis of the Quality Measure Reporting (QMR) system reports for the 2024 Core Set as of April 28, 2025.</t>
        </is>
      </c>
      <c r="I27"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7" s="4" t="n">
        <v>0.436</v>
      </c>
      <c r="K27" s="4" t="n">
        <v>0.352</v>
      </c>
      <c r="L27" s="4" t="n">
        <v>0.581</v>
      </c>
      <c r="M27" s="4" t="n">
        <v>0.189</v>
      </c>
      <c r="N27" s="4" t="n">
        <v>0.29</v>
      </c>
      <c r="O27" s="4" t="n">
        <v>0.415</v>
      </c>
    </row>
    <row r="28">
      <c r="A28" t="inlineStr">
        <is>
          <t>Blood Glucose and Cholesterol Testing</t>
        </is>
      </c>
      <c r="B28" t="inlineStr"/>
      <c r="C28" t="n">
        <v>2021</v>
      </c>
      <c r="D28" t="inlineStr">
        <is>
          <t>Medicaid only</t>
        </is>
      </c>
      <c r="E28" t="inlineStr">
        <is>
          <t>Administrative</t>
        </is>
      </c>
      <c r="F28" t="inlineStr">
        <is>
          <t>Percentage with Two or More Antipsychotic Prescriptions that had Metabolic Testing for Blood Glucose and Cholesterol: Ages 1 to 17</t>
        </is>
      </c>
      <c r="G28" t="inlineStr">
        <is>
          <t>Higher values are better</t>
        </is>
      </c>
      <c r="H28" t="inlineStr">
        <is>
          <t>Mathematica analysis of the Quality Measure Reporting (QMR) system reports for the FFY 2021 reporting cycle as of June 1, 2023.</t>
        </is>
      </c>
      <c r="I2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8" s="4" t="n">
        <v>0.353</v>
      </c>
      <c r="K28" s="4" t="n">
        <v>0.303</v>
      </c>
      <c r="L28" s="4" t="n">
        <v>0.59</v>
      </c>
      <c r="M28" s="4" t="n">
        <v>0.174</v>
      </c>
      <c r="N28" s="4" t="n">
        <v>0.253</v>
      </c>
      <c r="O28" s="4" t="n">
        <v>0.365</v>
      </c>
    </row>
    <row r="29">
      <c r="A29" t="inlineStr">
        <is>
          <t>Blood Glucose and Cholesterol Testing</t>
        </is>
      </c>
      <c r="B29" t="inlineStr"/>
      <c r="C29" t="n">
        <v>2021</v>
      </c>
      <c r="D29" t="inlineStr">
        <is>
          <t>CHIP only</t>
        </is>
      </c>
      <c r="E29" t="inlineStr">
        <is>
          <t>Administrative</t>
        </is>
      </c>
      <c r="F29" t="inlineStr">
        <is>
          <t>Percentage with Two or More Antipsychotic Prescriptions that had Metabolic Testing for Blood Glucose and Cholesterol: Ages 1 to 17</t>
        </is>
      </c>
      <c r="G29" t="inlineStr">
        <is>
          <t>Higher values are better</t>
        </is>
      </c>
      <c r="H29" t="inlineStr">
        <is>
          <t>Mathematica analysis of the Quality Measure Reporting (QMR) system reports for the FFY 2021 reporting cycle as of June 1, 2023.</t>
        </is>
      </c>
      <c r="I29"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29" s="4" t="n">
        <v>0.289</v>
      </c>
      <c r="K29" s="4" t="n">
        <v>0.303</v>
      </c>
      <c r="L29" s="4" t="n">
        <v>0.59</v>
      </c>
      <c r="M29" s="4" t="n">
        <v>0.174</v>
      </c>
      <c r="N29" s="4" t="n">
        <v>0.253</v>
      </c>
      <c r="O29" s="4" t="n">
        <v>0.365</v>
      </c>
    </row>
    <row r="30">
      <c r="A30" t="inlineStr">
        <is>
          <t>Blood Glucose and Cholesterol Testing</t>
        </is>
      </c>
      <c r="B30" t="inlineStr"/>
      <c r="C30" t="n">
        <v>2022</v>
      </c>
      <c r="D30" t="inlineStr">
        <is>
          <t>Medicaid only</t>
        </is>
      </c>
      <c r="E30" t="inlineStr">
        <is>
          <t>Administrative</t>
        </is>
      </c>
      <c r="F30" t="inlineStr">
        <is>
          <t>Percentage with Two or More Antipsychotic Prescriptions that had Metabolic Testing for Blood Glucose and Cholesterol: Ages 1 to 17</t>
        </is>
      </c>
      <c r="G30" t="inlineStr">
        <is>
          <t>Higher values are better</t>
        </is>
      </c>
      <c r="H30" t="inlineStr">
        <is>
          <t>Mathematica analysis of the Quality Measure Reporting (QMR) system reports for the FFY 2022 reporting cycle as of June 1, 2023.</t>
        </is>
      </c>
      <c r="I3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0" s="4" t="n">
        <v>0.379</v>
      </c>
      <c r="K30" s="4" t="n">
        <v>0.332</v>
      </c>
      <c r="L30" s="4" t="n">
        <v>0.635</v>
      </c>
      <c r="M30" s="4" t="n">
        <v>0.165</v>
      </c>
      <c r="N30" s="4" t="n">
        <v>0.273</v>
      </c>
      <c r="O30" s="4" t="n">
        <v>0.415</v>
      </c>
    </row>
    <row r="31">
      <c r="A31" t="inlineStr">
        <is>
          <t>Blood Glucose and Cholesterol Testing</t>
        </is>
      </c>
      <c r="B31" t="inlineStr"/>
      <c r="C31" t="n">
        <v>2022</v>
      </c>
      <c r="D31" t="inlineStr">
        <is>
          <t>CHIP only</t>
        </is>
      </c>
      <c r="E31" t="inlineStr">
        <is>
          <t>Administrative</t>
        </is>
      </c>
      <c r="F31" t="inlineStr">
        <is>
          <t>Percentage with Two or More Antipsychotic Prescriptions that had Metabolic Testing for Blood Glucose and Cholesterol: Ages 1 to 17</t>
        </is>
      </c>
      <c r="G31" t="inlineStr">
        <is>
          <t>Higher values are better</t>
        </is>
      </c>
      <c r="H31" t="inlineStr">
        <is>
          <t>Mathematica analysis of the Quality Measure Reporting (QMR) system reports for the FFY 2022 reporting cycle as of June 1, 2023.</t>
        </is>
      </c>
      <c r="I31"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1" s="4" t="n">
        <v>0.354</v>
      </c>
      <c r="K31" s="4" t="n">
        <v>0.332</v>
      </c>
      <c r="L31" s="4" t="n">
        <v>0.635</v>
      </c>
      <c r="M31" s="4" t="n">
        <v>0.165</v>
      </c>
      <c r="N31" s="4" t="n">
        <v>0.273</v>
      </c>
      <c r="O31" s="4" t="n">
        <v>0.415</v>
      </c>
    </row>
    <row r="32">
      <c r="A32" t="inlineStr">
        <is>
          <t>Blood Glucose and Cholesterol Testing</t>
        </is>
      </c>
      <c r="B32" t="inlineStr"/>
      <c r="C32" t="n">
        <v>2023</v>
      </c>
      <c r="D32" t="inlineStr">
        <is>
          <t>Medicaid only</t>
        </is>
      </c>
      <c r="E32" t="inlineStr">
        <is>
          <t>Administrative</t>
        </is>
      </c>
      <c r="F32" t="inlineStr">
        <is>
          <t>Percentage with Two or More Antipsychotic Prescriptions that had Metabolic Testing for Blood Glucose and Cholesterol: Ages 1 to 17</t>
        </is>
      </c>
      <c r="G32" t="inlineStr">
        <is>
          <t>Higher values are better</t>
        </is>
      </c>
      <c r="H32" t="inlineStr">
        <is>
          <t>Mathematica analysis of the Quality Measure Reporting (QMR) system reports for the 2023 Core Set as of May 16, 2024.</t>
        </is>
      </c>
      <c r="I32"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2" s="4" t="n">
        <v>0.385</v>
      </c>
      <c r="K32" s="4" t="n">
        <v>0.323</v>
      </c>
      <c r="L32" s="4" t="n">
        <v>0.666</v>
      </c>
      <c r="M32" s="4" t="n">
        <v>0.193</v>
      </c>
      <c r="N32" s="4" t="n">
        <v>0.267</v>
      </c>
      <c r="O32" s="4" t="n">
        <v>0.416</v>
      </c>
    </row>
    <row r="33">
      <c r="A33" t="inlineStr">
        <is>
          <t>Blood Glucose and Cholesterol Testing</t>
        </is>
      </c>
      <c r="B33" t="inlineStr"/>
      <c r="C33" t="n">
        <v>2023</v>
      </c>
      <c r="D33" t="inlineStr">
        <is>
          <t>CHIP only</t>
        </is>
      </c>
      <c r="E33" t="inlineStr">
        <is>
          <t>Administrative</t>
        </is>
      </c>
      <c r="F33" t="inlineStr">
        <is>
          <t>Percentage with Two or More Antipsychotic Prescriptions that had Metabolic Testing for Blood Glucose and Cholesterol: Ages 1 to 17</t>
        </is>
      </c>
      <c r="G33" t="inlineStr">
        <is>
          <t>Higher values are better</t>
        </is>
      </c>
      <c r="H33" t="inlineStr">
        <is>
          <t>Mathematica analysis of the Quality Measure Reporting (QMR) system reports for the 2023 Core Set as of May 16, 2024.</t>
        </is>
      </c>
      <c r="I33"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3" s="4" t="n">
        <v>0.348</v>
      </c>
      <c r="K33" s="4" t="n">
        <v>0.323</v>
      </c>
      <c r="L33" s="4" t="n">
        <v>0.666</v>
      </c>
      <c r="M33" s="4" t="n">
        <v>0.193</v>
      </c>
      <c r="N33" s="4" t="n">
        <v>0.267</v>
      </c>
      <c r="O33" s="4" t="n">
        <v>0.416</v>
      </c>
    </row>
    <row r="34">
      <c r="A34" t="inlineStr">
        <is>
          <t>Cholesterol Testing</t>
        </is>
      </c>
      <c r="B34" t="inlineStr">
        <is>
          <t>Ages 1 to 11</t>
        </is>
      </c>
      <c r="C34" t="n">
        <v>2024</v>
      </c>
      <c r="D34" t="inlineStr">
        <is>
          <t>Medicaid (Title XIX), Title XXI-funded Medicaid Expansion CHIP, Separate CHIP (Title XXI)</t>
        </is>
      </c>
      <c r="E34" t="inlineStr">
        <is>
          <t>Administrative</t>
        </is>
      </c>
      <c r="F34" t="inlineStr">
        <is>
          <t>Percentage with Two or More Antipsychotic Prescriptions that had Metabolic Testing for Cholesterol: Ages 1 to 11</t>
        </is>
      </c>
      <c r="G34" t="inlineStr">
        <is>
          <t>Higher values are better</t>
        </is>
      </c>
      <c r="H34" t="inlineStr">
        <is>
          <t>Mathematica analysis of the Quality Measure Reporting (QMR) system reports for the 2024 Core Set as of April 28, 2025.</t>
        </is>
      </c>
      <c r="I34" t="inlineStr">
        <is>
          <t>State-specific comments: Rate combines the Medicaid and separate CHIP data reported by the state in the QMR system. See Medicaid and separate CHIP state-specific comments for information about the data reported for each population.</t>
        </is>
      </c>
      <c r="J34" s="4" t="n">
        <v>0.357</v>
      </c>
      <c r="K34" s="4" t="n">
        <v>0.301</v>
      </c>
      <c r="L34" s="4" t="n">
        <v>0.6</v>
      </c>
      <c r="M34" s="4" t="n">
        <v>0.154</v>
      </c>
      <c r="N34" s="4" t="n">
        <v>0.247</v>
      </c>
      <c r="O34" s="4" t="n">
        <v>0.357</v>
      </c>
    </row>
    <row r="35">
      <c r="A35" t="inlineStr">
        <is>
          <t>Cholesterol Testing</t>
        </is>
      </c>
      <c r="B35" t="inlineStr">
        <is>
          <t>Ages 1 to 11</t>
        </is>
      </c>
      <c r="C35" t="n">
        <v>2024</v>
      </c>
      <c r="D35" t="inlineStr">
        <is>
          <t>Medicaid (Title XIX), Title XXI-funded Medicaid Expansion CHIP</t>
        </is>
      </c>
      <c r="E35" t="inlineStr">
        <is>
          <t>Administrative</t>
        </is>
      </c>
      <c r="F35" t="inlineStr">
        <is>
          <t>Percentage with Two or More Antipsychotic Prescriptions that had Metabolic Testing for Cholesterol: Ages 1 to 11</t>
        </is>
      </c>
      <c r="G35" t="inlineStr">
        <is>
          <t>Higher values are better</t>
        </is>
      </c>
      <c r="H35" t="inlineStr">
        <is>
          <t>Mathematica analysis of the Quality Measure Reporting (QMR) system reports for the 2024 Core Set as of April 28, 2025.</t>
        </is>
      </c>
      <c r="I3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5" s="4" t="n">
        <v>0.357</v>
      </c>
      <c r="K35" s="4" t="n">
        <v>0.301</v>
      </c>
      <c r="L35" s="4" t="n">
        <v>0.6</v>
      </c>
      <c r="M35" s="4" t="n">
        <v>0.154</v>
      </c>
      <c r="N35" s="4" t="n">
        <v>0.247</v>
      </c>
      <c r="O35" s="4" t="n">
        <v>0.357</v>
      </c>
    </row>
    <row r="36">
      <c r="A36" t="inlineStr">
        <is>
          <t>Cholesterol Testing</t>
        </is>
      </c>
      <c r="B36" t="inlineStr">
        <is>
          <t>Ages 1 to 11</t>
        </is>
      </c>
      <c r="C36" t="n">
        <v>2024</v>
      </c>
      <c r="D36" t="inlineStr">
        <is>
          <t>Separate CHIP (Title XXI)</t>
        </is>
      </c>
      <c r="E36" t="inlineStr">
        <is>
          <t>Administrative</t>
        </is>
      </c>
      <c r="F36" t="inlineStr">
        <is>
          <t>Percentage with Two or More Antipsychotic Prescriptions that had Metabolic Testing for Cholesterol: Ages 1 to 11</t>
        </is>
      </c>
      <c r="G36" t="inlineStr">
        <is>
          <t>Higher values are better</t>
        </is>
      </c>
      <c r="H36" t="inlineStr">
        <is>
          <t>Mathematica analysis of the Quality Measure Reporting (QMR) system reports for the 2024 Core Set as of April 28, 2025.</t>
        </is>
      </c>
      <c r="I36"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6" s="4" t="n">
        <v>0.405</v>
      </c>
      <c r="K36" s="4" t="n">
        <v>0.301</v>
      </c>
      <c r="L36" s="4" t="n">
        <v>0.6</v>
      </c>
      <c r="M36" s="4" t="n">
        <v>0.154</v>
      </c>
      <c r="N36" s="4" t="n">
        <v>0.247</v>
      </c>
      <c r="O36" s="4" t="n">
        <v>0.357</v>
      </c>
    </row>
    <row r="37">
      <c r="A37" t="inlineStr">
        <is>
          <t>Cholesterol Testing</t>
        </is>
      </c>
      <c r="B37" t="inlineStr">
        <is>
          <t>Ages 12 to 17</t>
        </is>
      </c>
      <c r="C37" t="n">
        <v>2024</v>
      </c>
      <c r="D37" t="inlineStr">
        <is>
          <t>Medicaid (Title XIX), Title XXI-funded Medicaid Expansion CHIP, Separate CHIP (Title XXI)</t>
        </is>
      </c>
      <c r="E37" t="inlineStr">
        <is>
          <t>Administrative</t>
        </is>
      </c>
      <c r="F37" t="inlineStr">
        <is>
          <t>Percentage with Two or More Antipsychotic Prescriptions that had Metabolic Testing for Cholesterol: Ages 12 to 17</t>
        </is>
      </c>
      <c r="G37" t="inlineStr">
        <is>
          <t>Higher values are better</t>
        </is>
      </c>
      <c r="H37" t="inlineStr">
        <is>
          <t>Mathematica analysis of the Quality Measure Reporting (QMR) system reports for the 2024 Core Set as of April 28, 2025.</t>
        </is>
      </c>
      <c r="I37" t="inlineStr">
        <is>
          <t>State-specific comments: Rate combines the Medicaid and separate CHIP data reported by the state in the QMR system. See Medicaid and separate CHIP state-specific comments for information about the data reported for each population.</t>
        </is>
      </c>
      <c r="J37" s="4" t="n">
        <v>0.453</v>
      </c>
      <c r="K37" s="4" t="n">
        <v>0.39</v>
      </c>
      <c r="L37" s="4" t="n">
        <v>0.6</v>
      </c>
      <c r="M37" s="4" t="n">
        <v>0.213</v>
      </c>
      <c r="N37" s="4" t="n">
        <v>0.316</v>
      </c>
      <c r="O37" s="4" t="n">
        <v>0.453</v>
      </c>
    </row>
    <row r="38">
      <c r="A38" t="inlineStr">
        <is>
          <t>Cholesterol Testing</t>
        </is>
      </c>
      <c r="B38" t="inlineStr">
        <is>
          <t>Ages 12 to 17</t>
        </is>
      </c>
      <c r="C38" t="n">
        <v>2024</v>
      </c>
      <c r="D38" t="inlineStr">
        <is>
          <t>Medicaid (Title XIX), Title XXI-funded Medicaid Expansion CHIP</t>
        </is>
      </c>
      <c r="E38" t="inlineStr">
        <is>
          <t>Administrative</t>
        </is>
      </c>
      <c r="F38" t="inlineStr">
        <is>
          <t>Percentage with Two or More Antipsychotic Prescriptions that had Metabolic Testing for Cholesterol: Ages 12 to 17</t>
        </is>
      </c>
      <c r="G38" t="inlineStr">
        <is>
          <t>Higher values are better</t>
        </is>
      </c>
      <c r="H38" t="inlineStr">
        <is>
          <t>Mathematica analysis of the Quality Measure Reporting (QMR) system reports for the 2024 Core Set as of April 28, 2025.</t>
        </is>
      </c>
      <c r="I3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8" s="4" t="n">
        <v>0.453</v>
      </c>
      <c r="K38" s="4" t="n">
        <v>0.39</v>
      </c>
      <c r="L38" s="4" t="n">
        <v>0.6</v>
      </c>
      <c r="M38" s="4" t="n">
        <v>0.213</v>
      </c>
      <c r="N38" s="4" t="n">
        <v>0.316</v>
      </c>
      <c r="O38" s="4" t="n">
        <v>0.453</v>
      </c>
    </row>
    <row r="39">
      <c r="A39" t="inlineStr">
        <is>
          <t>Cholesterol Testing</t>
        </is>
      </c>
      <c r="B39" t="inlineStr">
        <is>
          <t>Ages 12 to 17</t>
        </is>
      </c>
      <c r="C39" t="n">
        <v>2024</v>
      </c>
      <c r="D39" t="inlineStr">
        <is>
          <t>Separate CHIP (Title XXI)</t>
        </is>
      </c>
      <c r="E39" t="inlineStr">
        <is>
          <t>Administrative</t>
        </is>
      </c>
      <c r="F39" t="inlineStr">
        <is>
          <t>Percentage with Two or More Antipsychotic Prescriptions that had Metabolic Testing for Cholesterol: Ages 12 to 17</t>
        </is>
      </c>
      <c r="G39" t="inlineStr">
        <is>
          <t>Higher values are better</t>
        </is>
      </c>
      <c r="H39" t="inlineStr">
        <is>
          <t>Mathematica analysis of the Quality Measure Reporting (QMR) system reports for the 2024 Core Set as of April 28, 2025.</t>
        </is>
      </c>
      <c r="I39"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39" s="4" t="n">
        <v>0.458</v>
      </c>
      <c r="K39" s="4" t="n">
        <v>0.39</v>
      </c>
      <c r="L39" s="4" t="n">
        <v>0.6</v>
      </c>
      <c r="M39" s="4" t="n">
        <v>0.213</v>
      </c>
      <c r="N39" s="4" t="n">
        <v>0.316</v>
      </c>
      <c r="O39" s="4" t="n">
        <v>0.453</v>
      </c>
    </row>
    <row r="40">
      <c r="A40" t="inlineStr">
        <is>
          <t>Cholesterol Testing</t>
        </is>
      </c>
      <c r="B40" t="inlineStr">
        <is>
          <t>Total (Ages 1 to 17)</t>
        </is>
      </c>
      <c r="C40" t="n">
        <v>2024</v>
      </c>
      <c r="D40" t="inlineStr">
        <is>
          <t>Medicaid (Title XIX), Title XXI-funded Medicaid Expansion CHIP, Separate CHIP (Title XXI)</t>
        </is>
      </c>
      <c r="E40" t="inlineStr">
        <is>
          <t>Administrative</t>
        </is>
      </c>
      <c r="F40" t="inlineStr">
        <is>
          <t>Percentage with Two or More Antipsychotic Prescriptions that had Metabolic Testing for Cholesterol: Ages 1 to 17</t>
        </is>
      </c>
      <c r="G40" t="inlineStr">
        <is>
          <t>Higher values are better</t>
        </is>
      </c>
      <c r="H40" t="inlineStr">
        <is>
          <t>Mathematica analysis of the Quality Measure Reporting (QMR) system reports for the 2024 Core Set as of April 28, 2025.</t>
        </is>
      </c>
      <c r="I40" t="inlineStr">
        <is>
          <t>State-specific comments: Rate combines the Medicaid and separate CHIP data reported by the state in the QMR system. See Medicaid and separate CHIP state-specific comments for information about the data reported for each population.</t>
        </is>
      </c>
      <c r="J40" s="4" t="n">
        <v>0.418</v>
      </c>
      <c r="K40" s="4" t="n">
        <v>0.367</v>
      </c>
      <c r="L40" s="4" t="n">
        <v>0.6</v>
      </c>
      <c r="M40" s="4" t="n">
        <v>0.197</v>
      </c>
      <c r="N40" s="4" t="n">
        <v>0.304</v>
      </c>
      <c r="O40" s="4" t="n">
        <v>0.432</v>
      </c>
    </row>
    <row r="41">
      <c r="A41" t="inlineStr">
        <is>
          <t>Cholesterol Testing</t>
        </is>
      </c>
      <c r="B41" t="inlineStr">
        <is>
          <t>Total (Ages 1 to 17)</t>
        </is>
      </c>
      <c r="C41" t="n">
        <v>2024</v>
      </c>
      <c r="D41" t="inlineStr">
        <is>
          <t>Medicaid (Title XIX), Title XXI-funded Medicaid Expansion CHIP</t>
        </is>
      </c>
      <c r="E41" t="inlineStr">
        <is>
          <t>Administrative</t>
        </is>
      </c>
      <c r="F41" t="inlineStr">
        <is>
          <t>Percentage with Two or More Antipsychotic Prescriptions that had Metabolic Testing for Cholesterol: Ages 1 to 17</t>
        </is>
      </c>
      <c r="G41" t="inlineStr">
        <is>
          <t>Higher values are better</t>
        </is>
      </c>
      <c r="H41" t="inlineStr">
        <is>
          <t>Mathematica analysis of the Quality Measure Reporting (QMR) system reports for the 2024 Core Set as of April 28, 2025.</t>
        </is>
      </c>
      <c r="I4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1" s="4" t="n">
        <v>0.418</v>
      </c>
      <c r="K41" s="4" t="n">
        <v>0.367</v>
      </c>
      <c r="L41" s="4" t="n">
        <v>0.6</v>
      </c>
      <c r="M41" s="4" t="n">
        <v>0.197</v>
      </c>
      <c r="N41" s="4" t="n">
        <v>0.304</v>
      </c>
      <c r="O41" s="4" t="n">
        <v>0.432</v>
      </c>
    </row>
    <row r="42">
      <c r="A42" t="inlineStr">
        <is>
          <t>Cholesterol Testing</t>
        </is>
      </c>
      <c r="B42" t="inlineStr">
        <is>
          <t>Total (Ages 1 to 17)</t>
        </is>
      </c>
      <c r="C42" t="n">
        <v>2024</v>
      </c>
      <c r="D42" t="inlineStr">
        <is>
          <t>Separate CHIP (Title XXI)</t>
        </is>
      </c>
      <c r="E42" t="inlineStr">
        <is>
          <t>Administrative</t>
        </is>
      </c>
      <c r="F42" t="inlineStr">
        <is>
          <t>Percentage with Two or More Antipsychotic Prescriptions that had Metabolic Testing for Cholesterol: Ages 1 to 17</t>
        </is>
      </c>
      <c r="G42" t="inlineStr">
        <is>
          <t>Higher values are better</t>
        </is>
      </c>
      <c r="H42" t="inlineStr">
        <is>
          <t>Mathematica analysis of the Quality Measure Reporting (QMR) system reports for the 2024 Core Set as of April 28, 2025.</t>
        </is>
      </c>
      <c r="I4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2" s="4" t="n">
        <v>0.444</v>
      </c>
      <c r="K42" s="4" t="n">
        <v>0.367</v>
      </c>
      <c r="L42" s="4" t="n">
        <v>0.6</v>
      </c>
      <c r="M42" s="4" t="n">
        <v>0.197</v>
      </c>
      <c r="N42" s="4" t="n">
        <v>0.304</v>
      </c>
      <c r="O42" s="4" t="n">
        <v>0.432</v>
      </c>
    </row>
    <row r="43">
      <c r="A43" t="inlineStr">
        <is>
          <t>Cholesterol Testing</t>
        </is>
      </c>
      <c r="B43" t="inlineStr"/>
      <c r="C43" t="n">
        <v>2021</v>
      </c>
      <c r="D43" t="inlineStr">
        <is>
          <t>Medicaid only</t>
        </is>
      </c>
      <c r="E43" t="inlineStr">
        <is>
          <t>Administrative</t>
        </is>
      </c>
      <c r="F43" t="inlineStr">
        <is>
          <t>Percentage with Two or More Antipsychotic Prescriptions that had Metabolic Testing for Cholesterol: Ages 1 to 17</t>
        </is>
      </c>
      <c r="G43" t="inlineStr">
        <is>
          <t>Higher values are better</t>
        </is>
      </c>
      <c r="H43" t="inlineStr">
        <is>
          <t>Mathematica analysis of the Quality Measure Reporting (QMR) system reports for the FFY 2021 reporting cycle as of June 1, 2023.</t>
        </is>
      </c>
      <c r="I4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3" s="4" t="n">
        <v>0.367</v>
      </c>
      <c r="K43" s="4" t="n">
        <v>0.326</v>
      </c>
      <c r="L43" s="4" t="n">
        <v>0.602</v>
      </c>
      <c r="M43" s="4" t="n">
        <v>0.174</v>
      </c>
      <c r="N43" s="4" t="n">
        <v>0.267</v>
      </c>
      <c r="O43" s="4" t="n">
        <v>0.383</v>
      </c>
    </row>
    <row r="44">
      <c r="A44" t="inlineStr">
        <is>
          <t>Cholesterol Testing</t>
        </is>
      </c>
      <c r="B44" t="inlineStr"/>
      <c r="C44" t="n">
        <v>2021</v>
      </c>
      <c r="D44" t="inlineStr">
        <is>
          <t>CHIP only</t>
        </is>
      </c>
      <c r="E44" t="inlineStr">
        <is>
          <t>Administrative</t>
        </is>
      </c>
      <c r="F44" t="inlineStr">
        <is>
          <t>Percentage with Two or More Antipsychotic Prescriptions that had Metabolic Testing for Cholesterol: Ages 1 to 17</t>
        </is>
      </c>
      <c r="G44" t="inlineStr">
        <is>
          <t>Higher values are better</t>
        </is>
      </c>
      <c r="H44" t="inlineStr">
        <is>
          <t>Mathematica analysis of the Quality Measure Reporting (QMR) system reports for the FFY 2021 reporting cycle as of June 1, 2023.</t>
        </is>
      </c>
      <c r="I4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4" s="4" t="n">
        <v>0.308</v>
      </c>
      <c r="K44" s="4" t="n">
        <v>0.326</v>
      </c>
      <c r="L44" s="4" t="n">
        <v>0.602</v>
      </c>
      <c r="M44" s="4" t="n">
        <v>0.174</v>
      </c>
      <c r="N44" s="4" t="n">
        <v>0.267</v>
      </c>
      <c r="O44" s="4" t="n">
        <v>0.383</v>
      </c>
    </row>
    <row r="45">
      <c r="A45" t="inlineStr">
        <is>
          <t>Cholesterol Testing</t>
        </is>
      </c>
      <c r="B45" t="inlineStr"/>
      <c r="C45" t="n">
        <v>2022</v>
      </c>
      <c r="D45" t="inlineStr">
        <is>
          <t>Medicaid only</t>
        </is>
      </c>
      <c r="E45" t="inlineStr">
        <is>
          <t>Administrative</t>
        </is>
      </c>
      <c r="F45" t="inlineStr">
        <is>
          <t>Percentage with Two or More Antipsychotic Prescriptions that had Metabolic Testing for Cholesterol: Ages 1 to 17</t>
        </is>
      </c>
      <c r="G45" t="inlineStr">
        <is>
          <t>Higher values are better</t>
        </is>
      </c>
      <c r="H45" t="inlineStr">
        <is>
          <t>Mathematica analysis of the Quality Measure Reporting (QMR) system reports for the FFY 2022 reporting cycle as of June 1, 2023.</t>
        </is>
      </c>
      <c r="I4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5" s="4" t="n">
        <v>0.393</v>
      </c>
      <c r="K45" s="4" t="n">
        <v>0.353</v>
      </c>
      <c r="L45" s="4" t="n">
        <v>0.658</v>
      </c>
      <c r="M45" s="4" t="n">
        <v>0.174</v>
      </c>
      <c r="N45" s="4" t="n">
        <v>0.286</v>
      </c>
      <c r="O45" s="4" t="n">
        <v>0.419</v>
      </c>
    </row>
    <row r="46">
      <c r="A46" t="inlineStr">
        <is>
          <t>Cholesterol Testing</t>
        </is>
      </c>
      <c r="B46" t="inlineStr"/>
      <c r="C46" t="n">
        <v>2022</v>
      </c>
      <c r="D46" t="inlineStr">
        <is>
          <t>CHIP only</t>
        </is>
      </c>
      <c r="E46" t="inlineStr">
        <is>
          <t>Administrative</t>
        </is>
      </c>
      <c r="F46" t="inlineStr">
        <is>
          <t>Percentage with Two or More Antipsychotic Prescriptions that had Metabolic Testing for Cholesterol: Ages 1 to 17</t>
        </is>
      </c>
      <c r="G46" t="inlineStr">
        <is>
          <t>Higher values are better</t>
        </is>
      </c>
      <c r="H46" t="inlineStr">
        <is>
          <t>Mathematica analysis of the Quality Measure Reporting (QMR) system reports for the FFY 2022 reporting cycle as of June 1, 2023.</t>
        </is>
      </c>
      <c r="I46"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6" s="4" t="n">
        <v>0.372</v>
      </c>
      <c r="K46" s="4" t="n">
        <v>0.353</v>
      </c>
      <c r="L46" s="4" t="n">
        <v>0.658</v>
      </c>
      <c r="M46" s="4" t="n">
        <v>0.174</v>
      </c>
      <c r="N46" s="4" t="n">
        <v>0.286</v>
      </c>
      <c r="O46" s="4" t="n">
        <v>0.419</v>
      </c>
    </row>
    <row r="47">
      <c r="A47" t="inlineStr">
        <is>
          <t>Cholesterol Testing</t>
        </is>
      </c>
      <c r="B47" t="inlineStr"/>
      <c r="C47" t="n">
        <v>2023</v>
      </c>
      <c r="D47" t="inlineStr">
        <is>
          <t>Medicaid only</t>
        </is>
      </c>
      <c r="E47" t="inlineStr">
        <is>
          <t>Administrative</t>
        </is>
      </c>
      <c r="F47" t="inlineStr">
        <is>
          <t>Percentage with Two or More Antipsychotic Prescriptions that had Metabolic Testing for Cholesterol: Ages 1 to 17</t>
        </is>
      </c>
      <c r="G47" t="inlineStr">
        <is>
          <t>Higher values are better</t>
        </is>
      </c>
      <c r="H47" t="inlineStr">
        <is>
          <t>Mathematica analysis of the Quality Measure Reporting (QMR) system reports for the 2023 Core Set as of May 16, 2024.</t>
        </is>
      </c>
      <c r="I4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7" s="4" t="n">
        <v>0.396</v>
      </c>
      <c r="K47" s="4" t="n">
        <v>0.342</v>
      </c>
      <c r="L47" s="4" t="n">
        <v>0.6879999999999999</v>
      </c>
      <c r="M47" s="4" t="n">
        <v>0.2</v>
      </c>
      <c r="N47" s="4" t="n">
        <v>0.284</v>
      </c>
      <c r="O47" s="4" t="n">
        <v>0.43</v>
      </c>
    </row>
    <row r="48">
      <c r="A48" t="inlineStr">
        <is>
          <t>Cholesterol Testing</t>
        </is>
      </c>
      <c r="B48" t="inlineStr"/>
      <c r="C48" t="n">
        <v>2023</v>
      </c>
      <c r="D48" t="inlineStr">
        <is>
          <t>CHIP only</t>
        </is>
      </c>
      <c r="E48" t="inlineStr">
        <is>
          <t>Administrative</t>
        </is>
      </c>
      <c r="F48" t="inlineStr">
        <is>
          <t>Percentage with Two or More Antipsychotic Prescriptions that had Metabolic Testing for Cholesterol: Ages 1 to 17</t>
        </is>
      </c>
      <c r="G48" t="inlineStr">
        <is>
          <t>Higher values are better</t>
        </is>
      </c>
      <c r="H48" t="inlineStr">
        <is>
          <t>Mathematica analysis of the Quality Measure Reporting (QMR) system reports for the 2023 Core Set as of May 16, 2024.</t>
        </is>
      </c>
      <c r="I48"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J48" s="4" t="n">
        <v>0.357</v>
      </c>
      <c r="K48" s="4" t="n">
        <v>0.342</v>
      </c>
      <c r="L48" s="4" t="n">
        <v>0.6879999999999999</v>
      </c>
      <c r="M48" s="4" t="n">
        <v>0.2</v>
      </c>
      <c r="N48" s="4" t="n">
        <v>0.284</v>
      </c>
      <c r="O48" s="4" t="n">
        <v>0.43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8" customWidth="1" min="1" max="1"/>
    <col width="13" customWidth="1" min="2" max="2"/>
    <col width="12" customWidth="1" min="3" max="3"/>
    <col width="22" customWidth="1" min="4" max="4"/>
    <col width="60" customWidth="1" min="5" max="5"/>
    <col width="26" customWidth="1" min="6" max="6"/>
    <col width="60" customWidth="1" min="7" max="7"/>
    <col width="60" customWidth="1" min="8" max="8"/>
    <col width="23"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National Core Indicators Survey: Age 18 and Older (NCIIDD-AD)</t>
        </is>
      </c>
    </row>
    <row r="2"/>
    <row r="3">
      <c r="A3" s="1" t="inlineStr">
        <is>
          <t>Indicator</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Everyday Choices</t>
        </is>
      </c>
      <c r="B4" t="n">
        <v>2022</v>
      </c>
      <c r="C4" t="inlineStr"/>
      <c r="D4" t="inlineStr"/>
      <c r="E4" t="inlineStr">
        <is>
          <t>Percentage of Adults who Reported They Decided or Had Help Deciding Their Daily Schedule, How to Spend Money, and How to Spend Free Time</t>
        </is>
      </c>
      <c r="F4" t="inlineStr">
        <is>
          <t>Higher values are better</t>
        </is>
      </c>
      <c r="G4" t="inlineStr">
        <is>
          <t>Mathematica analysis of the Quality Measure Reporting (QMR) system reports for the FFY 2022 reporting cycle as of June 1, 2023.</t>
        </is>
      </c>
      <c r="H4" t="inlineStr"/>
      <c r="I4" t="inlineStr">
        <is>
          <t>Not reported by state</t>
        </is>
      </c>
      <c r="J4" s="4" t="n">
        <v>0.907</v>
      </c>
      <c r="K4" s="4" t="n">
        <v>0.979</v>
      </c>
      <c r="L4" s="4" t="n">
        <v>0.834</v>
      </c>
      <c r="M4" s="4" t="n">
        <v>0.891</v>
      </c>
      <c r="N4" s="4" t="n">
        <v>0.944</v>
      </c>
    </row>
    <row r="5">
      <c r="A5" t="inlineStr">
        <is>
          <t>Everyday Choices</t>
        </is>
      </c>
      <c r="B5" t="n">
        <v>2023</v>
      </c>
      <c r="C5" t="inlineStr">
        <is>
          <t>Medicaid</t>
        </is>
      </c>
      <c r="D5" t="inlineStr">
        <is>
          <t>NCI In-Person Survey</t>
        </is>
      </c>
      <c r="E5" t="inlineStr">
        <is>
          <t>Percentage of Adults who Reported They Decided or Had Help Deciding Their Daily Schedule, How to Spend Money, and How to Spend Free Time</t>
        </is>
      </c>
      <c r="F5" t="inlineStr">
        <is>
          <t>Higher values are better</t>
        </is>
      </c>
      <c r="G5"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2022 to June 30, 2023 data collection period, corresponding to the 2023 Core Set, as of May 22, 2024.</t>
        </is>
      </c>
      <c r="H5" t="inlineStr">
        <is>
          <t>State-specific comments: Rates include HCBS 1915(c) Waiver program, Community Living Assistance and Support Services (CLASS), Texas Home Living (TxHmL), and Deaf Blind with Multiple Disabilities (DBMD) enrollees. Funding sources include 1915(c) waivers. Total number of enrollees included in the programs is 41,100. The state provided the following information about the sampling or survey methodology: Simple random sample. Individuals receiving services from an Intermediate Care Facility for Individuals with an Intellectual Disability or Related Conditions (ICF/IID); State Supported Living Centers (SSLC); and Community-based ICF/IID are excluded from this sample.</t>
        </is>
      </c>
      <c r="I5" s="4" t="n">
        <v>0.79</v>
      </c>
      <c r="J5" s="4" t="n">
        <v>0.894</v>
      </c>
      <c r="K5" s="4" t="n">
        <v>0.971</v>
      </c>
      <c r="L5" s="4" t="n">
        <v>0.779</v>
      </c>
      <c r="M5" s="4" t="n">
        <v>0.864</v>
      </c>
      <c r="N5" s="4" t="n">
        <v>0.93</v>
      </c>
    </row>
    <row r="6">
      <c r="A6" t="inlineStr">
        <is>
          <t>Everyday Choices</t>
        </is>
      </c>
      <c r="B6" t="n">
        <v>2024</v>
      </c>
      <c r="C6" t="inlineStr"/>
      <c r="D6" t="inlineStr"/>
      <c r="E6" t="inlineStr">
        <is>
          <t>Percentage of Adults who Reported They Decided or Had Help Deciding Their Daily Schedule, How to Spend Money, and How to Spend Free Time</t>
        </is>
      </c>
      <c r="F6" t="inlineStr">
        <is>
          <t>Higher values are better</t>
        </is>
      </c>
      <c r="G6"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2023 to June 30, 2024 data collection period, corresponding to the 2024 Adult Core Set, as of May 8, 2025.</t>
        </is>
      </c>
      <c r="H6" t="inlineStr"/>
      <c r="I6" t="inlineStr">
        <is>
          <t>Not reported by state</t>
        </is>
      </c>
      <c r="J6" s="4" t="n">
        <v>0.909</v>
      </c>
      <c r="K6" s="4" t="n">
        <v>0.971</v>
      </c>
      <c r="L6" s="4" t="n">
        <v>0.831</v>
      </c>
      <c r="M6" s="4" t="n">
        <v>0.871</v>
      </c>
      <c r="N6" s="4" t="n">
        <v>0.928</v>
      </c>
    </row>
    <row r="7">
      <c r="A7" t="inlineStr">
        <is>
          <t>Life Decisions</t>
        </is>
      </c>
      <c r="B7" t="n">
        <v>2023</v>
      </c>
      <c r="C7" t="inlineStr">
        <is>
          <t>Medicaid</t>
        </is>
      </c>
      <c r="D7" t="inlineStr">
        <is>
          <t>NCI In-Person Survey</t>
        </is>
      </c>
      <c r="E7" t="inlineStr">
        <is>
          <t>Percentage of Adults who Make Choices about Their Life Decisions, including Their Residence, Work, Day Activity, Staff, and Roommates</t>
        </is>
      </c>
      <c r="F7" t="inlineStr">
        <is>
          <t>Higher values are better</t>
        </is>
      </c>
      <c r="G7"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2022 to June 30, 2023 data collection period, corresponding to the 2023 Core Set, as of May 22, 2024.</t>
        </is>
      </c>
      <c r="H7" t="inlineStr">
        <is>
          <t>State-specific comments: Rates include HCBS 1915(c) Waiver program, Community Living Assistance and Support Services (CLASS), Texas Home Living (TxHmL), and Deaf Blind with Multiple Disabilities (DBMD) enrollees. Funding sources include 1915(c) waivers. Total number of enrollees included in the programs is 41,100. The state provided the following information about the sampling or survey methodology: Simple random sample. Individuals receiving services from an Intermediate Care Facility for Individuals with an Intellectual Disability or Related Conditions (ICF/IID); State Supported Living Centers (SSLC); and Community-based ICF/IID are excluded from this sample.</t>
        </is>
      </c>
      <c r="I7" s="4" t="n">
        <v>0.496</v>
      </c>
      <c r="J7" s="4" t="n">
        <v>0.625</v>
      </c>
      <c r="K7" s="4" t="n">
        <v>0.719</v>
      </c>
      <c r="L7" s="4" t="n">
        <v>0.354</v>
      </c>
      <c r="M7" s="4" t="n">
        <v>0.548</v>
      </c>
      <c r="N7" s="4" t="n">
        <v>0.6909999999999999</v>
      </c>
    </row>
    <row r="8">
      <c r="A8" t="inlineStr">
        <is>
          <t>Life Decisions</t>
        </is>
      </c>
      <c r="B8" t="n">
        <v>2024</v>
      </c>
      <c r="C8" t="inlineStr"/>
      <c r="D8" t="inlineStr"/>
      <c r="E8" t="inlineStr">
        <is>
          <t>Percentage of Adults who Make Choices about Their Life Decisions, including Their Residence, Work, Day Activity, Staff, and Roommates</t>
        </is>
      </c>
      <c r="F8" t="inlineStr">
        <is>
          <t>Higher values are better</t>
        </is>
      </c>
      <c r="G8"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2023 to June 30, 2024 data collection period, corresponding to the 2024 Adult Core Set, as of May 8, 2025.</t>
        </is>
      </c>
      <c r="H8" t="inlineStr"/>
      <c r="I8" t="inlineStr">
        <is>
          <t>Not reported by state</t>
        </is>
      </c>
      <c r="J8" s="4" t="n">
        <v>0.629</v>
      </c>
      <c r="K8" s="4" t="n">
        <v>0.759</v>
      </c>
      <c r="L8" s="4" t="n">
        <v>0.243</v>
      </c>
      <c r="M8" s="4" t="n">
        <v>0.601</v>
      </c>
      <c r="N8" s="4" t="n">
        <v>0.6929999999999999</v>
      </c>
    </row>
    <row r="9">
      <c r="A9" t="inlineStr">
        <is>
          <t>Transportation</t>
        </is>
      </c>
      <c r="B9" t="n">
        <v>2022</v>
      </c>
      <c r="C9" t="inlineStr"/>
      <c r="D9" t="inlineStr"/>
      <c r="E9" t="inlineStr">
        <is>
          <t>Percentage of Adults who Reported They Always Have a Way to Get Places When They Need to go Somewhere</t>
        </is>
      </c>
      <c r="F9" t="inlineStr">
        <is>
          <t>Higher values are better</t>
        </is>
      </c>
      <c r="G9" t="inlineStr">
        <is>
          <t>Mathematica analysis of the Quality Measure Reporting (QMR) system reports for the FFY 2022 reporting cycle as of June 1, 2023.</t>
        </is>
      </c>
      <c r="H9" t="inlineStr"/>
      <c r="I9" t="inlineStr">
        <is>
          <t>Not reported by state</t>
        </is>
      </c>
      <c r="J9" s="4" t="n">
        <v>0.945</v>
      </c>
      <c r="K9" s="4" t="n">
        <v>0.994</v>
      </c>
      <c r="L9" s="4" t="n">
        <v>0.734</v>
      </c>
      <c r="M9" s="4" t="n">
        <v>0.898</v>
      </c>
      <c r="N9" s="4" t="n">
        <v>0.967</v>
      </c>
    </row>
    <row r="10">
      <c r="A10" t="inlineStr">
        <is>
          <t>Transportation</t>
        </is>
      </c>
      <c r="B10" t="n">
        <v>2023</v>
      </c>
      <c r="C10" t="inlineStr">
        <is>
          <t>Medicaid</t>
        </is>
      </c>
      <c r="D10" t="inlineStr">
        <is>
          <t>NCI In-Person Survey</t>
        </is>
      </c>
      <c r="E10" t="inlineStr">
        <is>
          <t>Percentage of Adults who Reported They Always Have a Way to Get Places When They Need to go Somewhere</t>
        </is>
      </c>
      <c r="F10" t="inlineStr">
        <is>
          <t>Higher values are better</t>
        </is>
      </c>
      <c r="G10"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2022 to June 30, 2023 data collection period, corresponding to the 2023 Core Set, as of May 22, 2024.</t>
        </is>
      </c>
      <c r="H10" t="inlineStr">
        <is>
          <t>State-specific comments: Rates include HCBS 1915(c) Waiver program, Community Living Assistance and Support Services (CLASS), Texas Home Living (TxHmL), and Deaf Blind with Multiple Disabilities (DBMD) enrollees. Funding sources include 1915(c) waivers. Total number of enrollees included in the programs is 41,100. The state provided the following information about the sampling or survey methodology: Simple random sample. Individuals receiving services from an Intermediate Care Facility for Individuals with an Intellectual Disability or Related Conditions (ICF/IID); State Supported Living Centers (SSLC); and Community-based ICF/IID are excluded from this sample.</t>
        </is>
      </c>
      <c r="I10" s="4" t="n">
        <v>0.855</v>
      </c>
      <c r="J10" s="4" t="n">
        <v>0.9350000000000001</v>
      </c>
      <c r="K10" s="4" t="n">
        <v>0.993</v>
      </c>
      <c r="L10" s="4" t="n">
        <v>0.735</v>
      </c>
      <c r="M10" s="4" t="n">
        <v>0.914</v>
      </c>
      <c r="N10" s="4" t="n">
        <v>0.959</v>
      </c>
    </row>
    <row r="11">
      <c r="A11" t="inlineStr">
        <is>
          <t>Transportation</t>
        </is>
      </c>
      <c r="B11" t="n">
        <v>2024</v>
      </c>
      <c r="C11" t="inlineStr"/>
      <c r="D11" t="inlineStr"/>
      <c r="E11" t="inlineStr">
        <is>
          <t>Percentage of Adults who Reported They Always Have a Way to Get Places When They Need to Go Somewhere</t>
        </is>
      </c>
      <c r="F11" t="inlineStr">
        <is>
          <t>Higher values are better</t>
        </is>
      </c>
      <c r="G11"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2023 to June 30, 2024 data collection period, corresponding to the 2024 Adult Core Set, as of May 8, 2025.</t>
        </is>
      </c>
      <c r="H11" t="inlineStr"/>
      <c r="I11" t="inlineStr">
        <is>
          <t>Not reported by state</t>
        </is>
      </c>
      <c r="J11" s="4" t="n">
        <v>0.946</v>
      </c>
      <c r="K11" s="4" t="n">
        <v>0.996</v>
      </c>
      <c r="L11" s="4" t="n">
        <v>0.605</v>
      </c>
      <c r="M11" s="4" t="n">
        <v>0.9360000000000001</v>
      </c>
      <c r="N11" s="4" t="n">
        <v>0.969</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Oral Evaluation, Dental Services: Ages &lt;1 through 20 (OEV-CH)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2022</v>
      </c>
      <c r="B4" t="inlineStr">
        <is>
          <t>Medicaid only</t>
        </is>
      </c>
      <c r="C4" t="inlineStr">
        <is>
          <t>Administrative</t>
        </is>
      </c>
      <c r="D4" t="inlineStr">
        <is>
          <t>Percentage of Enrolled Children Under Age 21 Who Received a Comprehensive or Periodic Oral Evaluation: Ages &lt;1 through 20</t>
        </is>
      </c>
      <c r="E4" t="inlineStr">
        <is>
          <t>Higher values are better</t>
        </is>
      </c>
      <c r="F4" t="inlineStr">
        <is>
          <t>Mathematica analysis of the Quality Measure Reporting (QMR) system reports for the FFY 2022 reporting cycle as of June 1, 2023.</t>
        </is>
      </c>
      <c r="G4" t="inlineStr">
        <is>
          <t>State-specific comments: Medicaid rate includes managed care population (3 MCOs). The state described the "other" data sources used to calculate the measure as the following: "Dental encounters and enrollment data." Rate was audited or validated.</t>
        </is>
      </c>
      <c r="H4" s="4" t="n">
        <v>0.633</v>
      </c>
      <c r="I4" s="4" t="n">
        <v>0.432</v>
      </c>
      <c r="J4" s="4" t="n">
        <v>0.633</v>
      </c>
      <c r="K4" s="4" t="n">
        <v>0.182</v>
      </c>
      <c r="L4" s="4" t="n">
        <v>0.371</v>
      </c>
      <c r="M4" s="4" t="n">
        <v>0.494</v>
      </c>
    </row>
    <row r="5">
      <c r="A5" t="n">
        <v>2022</v>
      </c>
      <c r="B5" t="inlineStr">
        <is>
          <t>CHIP only</t>
        </is>
      </c>
      <c r="C5" t="inlineStr">
        <is>
          <t>Administrative</t>
        </is>
      </c>
      <c r="D5" t="inlineStr">
        <is>
          <t>Percentage of Enrolled Children Under Age 21 Who Received a Comprehensive or Periodic Oral Evaluation: Ages &lt;1 through 20</t>
        </is>
      </c>
      <c r="E5" t="inlineStr">
        <is>
          <t>Higher values are better</t>
        </is>
      </c>
      <c r="F5" t="inlineStr">
        <is>
          <t>Mathematica analysis of the Quality Measure Reporting (QMR) system reports for the FFY 2022 reporting cycle as of June 1, 2023.</t>
        </is>
      </c>
      <c r="G5" t="inlineStr">
        <is>
          <t>State-specific comments: CHIP rate includes managed care population (3 MCOs). The state described the "other" data sources used to calculate the measure as the following: "Dental encounters and enrollment data." Rate was audited or validated.</t>
        </is>
      </c>
      <c r="H5" s="4" t="n">
        <v>0.605</v>
      </c>
      <c r="I5" s="4" t="n">
        <v>0.432</v>
      </c>
      <c r="J5" s="4" t="n">
        <v>0.633</v>
      </c>
      <c r="K5" s="4" t="n">
        <v>0.182</v>
      </c>
      <c r="L5" s="4" t="n">
        <v>0.371</v>
      </c>
      <c r="M5" s="4" t="n">
        <v>0.494</v>
      </c>
    </row>
    <row r="6">
      <c r="A6" t="n">
        <v>2023</v>
      </c>
      <c r="B6" t="inlineStr">
        <is>
          <t>Medicaid only</t>
        </is>
      </c>
      <c r="C6" t="inlineStr">
        <is>
          <t>Administrative</t>
        </is>
      </c>
      <c r="D6" t="inlineStr">
        <is>
          <t>Percentage of Enrolled Children Under Age 21 Who Received a Comprehensive or Periodic Oral Evaluation: Ages &lt;1 through 20</t>
        </is>
      </c>
      <c r="E6" t="inlineStr">
        <is>
          <t>Higher values are better</t>
        </is>
      </c>
      <c r="F6" t="inlineStr">
        <is>
          <t>Mathematica analysis of the Quality Measure Reporting (QMR) system reports for the 2023 Core Set as of May 16, 2024.</t>
        </is>
      </c>
      <c r="G6" t="inlineStr">
        <is>
          <t>State-specific comments: Medicaid rate includes managed care population (3 MCOs). The state described the "other" data sources used to calculate the measure as the following: "Dental encounter and enrollment data." Rate was audited or validated.</t>
        </is>
      </c>
      <c r="H6" s="4" t="n">
        <v>0.628</v>
      </c>
      <c r="I6" s="4" t="n">
        <v>0.428</v>
      </c>
      <c r="J6" s="4" t="n">
        <v>0.628</v>
      </c>
      <c r="K6" s="4" t="n">
        <v>0.201</v>
      </c>
      <c r="L6" s="4" t="n">
        <v>0.393</v>
      </c>
      <c r="M6" s="4" t="n">
        <v>0.478</v>
      </c>
    </row>
    <row r="7">
      <c r="A7" t="n">
        <v>2023</v>
      </c>
      <c r="B7" t="inlineStr">
        <is>
          <t>CHIP only</t>
        </is>
      </c>
      <c r="C7" t="inlineStr">
        <is>
          <t>Administrative</t>
        </is>
      </c>
      <c r="D7" t="inlineStr">
        <is>
          <t>Percentage of Enrolled Children Under Age 21 Who Received a Comprehensive or Periodic Oral Evaluation: Ages &lt;1 through 20</t>
        </is>
      </c>
      <c r="E7" t="inlineStr">
        <is>
          <t>Higher values are better</t>
        </is>
      </c>
      <c r="F7" t="inlineStr">
        <is>
          <t>Mathematica analysis of the Quality Measure Reporting (QMR) system reports for the 2023 Core Set as of May 16, 2024.</t>
        </is>
      </c>
      <c r="G7" t="inlineStr">
        <is>
          <t>State-specific comments: CHIP rate includes managed care population (3 MCOs). The state described the "other" data sources used to calculate the measure as the following: "Dental encounters and enrollment data." Rate was audited or validated.</t>
        </is>
      </c>
      <c r="H7" s="4" t="n">
        <v>0.645</v>
      </c>
      <c r="I7" s="4" t="n">
        <v>0.428</v>
      </c>
      <c r="J7" s="4" t="n">
        <v>0.628</v>
      </c>
      <c r="K7" s="4" t="n">
        <v>0.201</v>
      </c>
      <c r="L7" s="4" t="n">
        <v>0.393</v>
      </c>
      <c r="M7" s="4" t="n">
        <v>0.478</v>
      </c>
    </row>
    <row r="8">
      <c r="A8" t="n">
        <v>2024</v>
      </c>
      <c r="B8" t="inlineStr">
        <is>
          <t>Medicaid (Title XIX), Title XXI-funded Medicaid Expansion CHIP, Separate CHIP (Title XXI)</t>
        </is>
      </c>
      <c r="C8" t="inlineStr">
        <is>
          <t>Administrative</t>
        </is>
      </c>
      <c r="D8" t="inlineStr">
        <is>
          <t>Percentage of Enrolled Children Under Age 21 Who Received a Comprehensive or Periodic Oral Evaluation: Ages &lt;1 through 20</t>
        </is>
      </c>
      <c r="E8" t="inlineStr">
        <is>
          <t>Higher values are better</t>
        </is>
      </c>
      <c r="F8" t="inlineStr">
        <is>
          <t>Mathematica analysis of the Quality Measure Reporting (QMR) system reports for the 2024 Core Set as of April 28, 2025.</t>
        </is>
      </c>
      <c r="G8" t="inlineStr">
        <is>
          <t>State-specific comments: Rate combines the Medicaid and separate CHIP data reported by the state in the QMR system. See Medicaid and separate CHIP state-specific comments for information about the data reported for each population.</t>
        </is>
      </c>
      <c r="H8" s="4" t="n">
        <v>0.618</v>
      </c>
      <c r="I8" s="4" t="n">
        <v>0.448</v>
      </c>
      <c r="J8" s="4" t="n">
        <v>0.618</v>
      </c>
      <c r="K8" s="4" t="n">
        <v>0.268</v>
      </c>
      <c r="L8" s="4" t="n">
        <v>0.408</v>
      </c>
      <c r="M8" s="4" t="n">
        <v>0.49</v>
      </c>
    </row>
    <row r="9">
      <c r="A9" t="n">
        <v>2024</v>
      </c>
      <c r="B9" t="inlineStr">
        <is>
          <t>Medicaid (Title XIX), Title XXI-funded Medicaid Expansion CHIP</t>
        </is>
      </c>
      <c r="C9" t="inlineStr">
        <is>
          <t>Administrative</t>
        </is>
      </c>
      <c r="D9" t="inlineStr">
        <is>
          <t>Percentage of Enrolled Children Under Age 21 Who Received a Comprehensive or Periodic Oral Evaluation: Ages &lt;1 through 20</t>
        </is>
      </c>
      <c r="E9" t="inlineStr">
        <is>
          <t>Higher values are better</t>
        </is>
      </c>
      <c r="F9" t="inlineStr">
        <is>
          <t>Mathematica analysis of the Quality Measure Reporting (QMR) system reports for the 2024 Core Set as of April 28, 2025.</t>
        </is>
      </c>
      <c r="G9" t="inlineStr">
        <is>
          <t>State-specific comments: Medicaid rate includes managed care population (3 MCOs). The state described the "other" data sources used to calculate the measure as the following: "Dental encounter and enrollment data." Rate was audited or validated.</t>
        </is>
      </c>
      <c r="H9" s="4" t="n">
        <v>0.618</v>
      </c>
      <c r="I9" s="4" t="n">
        <v>0.448</v>
      </c>
      <c r="J9" s="4" t="n">
        <v>0.618</v>
      </c>
      <c r="K9" s="4" t="n">
        <v>0.268</v>
      </c>
      <c r="L9" s="4" t="n">
        <v>0.408</v>
      </c>
      <c r="M9" s="4" t="n">
        <v>0.49</v>
      </c>
    </row>
    <row r="10">
      <c r="A10" t="n">
        <v>2024</v>
      </c>
      <c r="B10" t="inlineStr">
        <is>
          <t>Separate CHIP (Title XXI)</t>
        </is>
      </c>
      <c r="C10" t="inlineStr">
        <is>
          <t>Administrative</t>
        </is>
      </c>
      <c r="D10" t="inlineStr">
        <is>
          <t>Percentage of Enrolled Children Under Age 21 Who Received a Comprehensive or Periodic Oral Evaluation: Ages &lt;1 through 20</t>
        </is>
      </c>
      <c r="E10" t="inlineStr">
        <is>
          <t>Higher values are better</t>
        </is>
      </c>
      <c r="F10" t="inlineStr">
        <is>
          <t>Mathematica analysis of the Quality Measure Reporting (QMR) system reports for the 2024 Core Set as of April 28, 2025.</t>
        </is>
      </c>
      <c r="G10" t="inlineStr">
        <is>
          <t>State-specific comments: Separate CHIP rate includes managed care population (3 MCOs). The state described the "other" data sources used to calculate the measure as the following: "Dental encounter and enrollment data." Rate was audited or validated.</t>
        </is>
      </c>
      <c r="H10" s="4" t="n">
        <v>0.637</v>
      </c>
      <c r="I10" s="4" t="n">
        <v>0.448</v>
      </c>
      <c r="J10" s="4" t="n">
        <v>0.618</v>
      </c>
      <c r="K10" s="4" t="n">
        <v>0.268</v>
      </c>
      <c r="L10" s="4" t="n">
        <v>0.408</v>
      </c>
      <c r="M10" s="4" t="n">
        <v>0.49</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15" customWidth="1" min="1" max="1"/>
    <col width="15" customWidth="1" min="2" max="2"/>
    <col width="16" customWidth="1" min="3" max="3"/>
    <col width="60" customWidth="1" min="4" max="4"/>
    <col width="26" customWidth="1" min="5" max="5"/>
    <col width="60" customWidth="1" min="6" max="6"/>
    <col width="31"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Percentage of Eligibles Who Received Preventive Dental Services: Ages 1 to 20 (PDENT-CH)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only</t>
        </is>
      </c>
      <c r="C4" t="inlineStr">
        <is>
          <t>Administrative</t>
        </is>
      </c>
      <c r="D4" t="inlineStr">
        <is>
          <t>Percentage Enrolled in Medicaid or Medicaid Expansion CHIP Programs for at least 90 Continuous Days with at Least 1 Preventive Dental Service: Ages 1 to 20</t>
        </is>
      </c>
      <c r="E4" t="inlineStr">
        <is>
          <t>Higher values are better</t>
        </is>
      </c>
      <c r="F4" t="inlineStr">
        <is>
          <t>Mathematica analysis of FFY 2021 Form CMS-416 reports (annual EPSDT report), Lines 1b and 12b as of November 9, 2022.</t>
        </is>
      </c>
      <c r="G4" t="inlineStr">
        <is>
          <t>State-specific comments: None</t>
        </is>
      </c>
      <c r="H4" s="4" t="n">
        <v>0.629</v>
      </c>
      <c r="I4" s="4" t="n">
        <v>0.446</v>
      </c>
      <c r="J4" s="4" t="n">
        <v>0.629</v>
      </c>
      <c r="K4" s="4" t="n">
        <v>0.298</v>
      </c>
      <c r="L4" s="4" t="n">
        <v>0.385</v>
      </c>
      <c r="M4" s="4" t="n">
        <v>0.474</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5" customWidth="1" min="5" max="5"/>
    <col width="60" customWidth="1" min="6" max="6"/>
    <col width="60" customWidth="1" min="7" max="7"/>
    <col width="8"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Plan All-Cause Readmissions: Ages 18 to 64 (PCR-AD)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Ratio of Observed All-Cause Readmissions to Expected Readmissions: Ages 18 to 64</t>
        </is>
      </c>
      <c r="E4" t="inlineStr">
        <is>
          <t>Lower values are better</t>
        </is>
      </c>
      <c r="F4" t="inlineStr">
        <is>
          <t>Mathematica analysis of the Quality Measure Reporting (QMR) system reports for the FFY 2021 reporting cycle as of June 1, 2023.</t>
        </is>
      </c>
      <c r="G4"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4" s="5" t="n">
        <v>1.1431</v>
      </c>
      <c r="I4" s="5" t="n">
        <v>1.0009</v>
      </c>
      <c r="J4" s="5" t="n">
        <v>1.5076</v>
      </c>
      <c r="K4" s="5" t="n">
        <v>0.7143</v>
      </c>
      <c r="L4" s="5" t="n">
        <v>0.9471000000000001</v>
      </c>
      <c r="M4" s="5" t="n">
        <v>1.1431</v>
      </c>
    </row>
    <row r="5">
      <c r="A5" t="n">
        <v>2022</v>
      </c>
      <c r="B5" t="inlineStr">
        <is>
          <t>Medicaid</t>
        </is>
      </c>
      <c r="C5" t="inlineStr">
        <is>
          <t>Administrative</t>
        </is>
      </c>
      <c r="D5" t="inlineStr">
        <is>
          <t>Ratio of Observed All-Cause Readmissions to Expected Readmissions: Ages 18 to 64</t>
        </is>
      </c>
      <c r="E5" t="inlineStr">
        <is>
          <t>Lower values are better</t>
        </is>
      </c>
      <c r="F5" t="inlineStr">
        <is>
          <t>Mathematica analysis of the Quality Measure Reporting (QMR) system reports for the FFY 2022 reporting cycle as of June 1, 2023.</t>
        </is>
      </c>
      <c r="G5" t="inlineStr">
        <is>
          <t>State-specific comments: Rates include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5" s="5" t="n">
        <v>1.1244</v>
      </c>
      <c r="I5" s="5" t="n">
        <v>0.9752</v>
      </c>
      <c r="J5" s="5" t="n">
        <v>1.3028</v>
      </c>
      <c r="K5" s="5" t="n">
        <v>0.6870000000000001</v>
      </c>
      <c r="L5" s="5" t="n">
        <v>0.8998</v>
      </c>
      <c r="M5" s="5" t="n">
        <v>1.1244</v>
      </c>
    </row>
    <row r="6">
      <c r="A6" t="n">
        <v>2023</v>
      </c>
      <c r="B6" t="inlineStr">
        <is>
          <t>Medicaid</t>
        </is>
      </c>
      <c r="C6" t="inlineStr">
        <is>
          <t>Administrative</t>
        </is>
      </c>
      <c r="D6" t="inlineStr">
        <is>
          <t>Ratio of Observed All-Cause Readmissions to Expected Readmissions: Ages 18 to 64</t>
        </is>
      </c>
      <c r="E6" t="inlineStr">
        <is>
          <t>Lower values are better</t>
        </is>
      </c>
      <c r="F6" t="inlineStr">
        <is>
          <t>Mathematica analysis of the Quality Measure Reporting (QMR) system reports for the 2023 Core Set as of May 16, 2024.</t>
        </is>
      </c>
      <c r="G6"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6" s="5" t="n">
        <v>1.1411</v>
      </c>
      <c r="I6" s="5" t="n">
        <v>1.0139</v>
      </c>
      <c r="J6" s="5" t="n">
        <v>1.3064</v>
      </c>
      <c r="K6" s="5" t="n">
        <v>0.236</v>
      </c>
      <c r="L6" s="5" t="n">
        <v>0.9288999999999999</v>
      </c>
      <c r="M6" s="5" t="n">
        <v>1.0878</v>
      </c>
    </row>
    <row r="7">
      <c r="A7" t="n">
        <v>2024</v>
      </c>
      <c r="B7" t="inlineStr">
        <is>
          <t>Medicaid (Title XIX), Title XXI-funded Medicaid Expansion CHIP</t>
        </is>
      </c>
      <c r="C7" t="inlineStr">
        <is>
          <t>Administrative</t>
        </is>
      </c>
      <c r="D7" t="inlineStr">
        <is>
          <t>Ratio of Observed All-Cause Readmissions to Expected Readmissions: Ages 18 to 64</t>
        </is>
      </c>
      <c r="E7" t="inlineStr">
        <is>
          <t>Lower values are better</t>
        </is>
      </c>
      <c r="F7" t="inlineStr">
        <is>
          <t>Mathematica analysis of the Quality Measure Reporting (QMR) system reports for the 2024 Core Set as of April 28, 2025.</t>
        </is>
      </c>
      <c r="G7"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H7" s="5" t="n">
        <v>1.1087</v>
      </c>
      <c r="I7" s="5" t="n">
        <v>0.9896</v>
      </c>
      <c r="J7" s="5" t="n">
        <v>1.4463</v>
      </c>
      <c r="K7" s="5" t="n">
        <v>0.7381</v>
      </c>
      <c r="L7" s="5" t="n">
        <v>0.9131</v>
      </c>
      <c r="M7" s="5" t="n">
        <v>1.117</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PQI 01: Diabetes Short-Term Complications Admission Rate: Age 18 and Older (PQI01-AD)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Inpatient Hospital Admissions for Diabetes Short-Term Complications per 100,000 Beneficiary Months: Ages 18 to 64</t>
        </is>
      </c>
      <c r="E4" t="inlineStr">
        <is>
          <t>Lower values are better</t>
        </is>
      </c>
      <c r="F4" t="inlineStr">
        <is>
          <t>Mathematica analysis of the Quality Measure Reporting (QMR) system reports for the FFY 2021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3" t="n">
        <v>27</v>
      </c>
      <c r="I4" s="3" t="n">
        <v>16.7</v>
      </c>
      <c r="J4" s="3" t="n">
        <v>43.4</v>
      </c>
      <c r="K4" s="3" t="n">
        <v>6.2</v>
      </c>
      <c r="L4" s="3" t="n">
        <v>14.9</v>
      </c>
      <c r="M4" s="3" t="n">
        <v>22.2</v>
      </c>
    </row>
    <row r="5">
      <c r="A5" t="n">
        <v>2022</v>
      </c>
      <c r="B5" t="inlineStr">
        <is>
          <t>Medicaid</t>
        </is>
      </c>
      <c r="C5" t="inlineStr">
        <is>
          <t>Administrative</t>
        </is>
      </c>
      <c r="D5" t="inlineStr">
        <is>
          <t>Inpatient Hospital Admissions for Diabetes Short-Term Complications per 100,000 Beneficiary Months: Ages 18 to 64</t>
        </is>
      </c>
      <c r="E5" t="inlineStr">
        <is>
          <t>Lower values are better</t>
        </is>
      </c>
      <c r="F5" t="inlineStr">
        <is>
          <t>Mathematica analysis of the Quality Measure Reporting (QMR) system reports for the FFY 2022 reporting cycle as of June 1, 2023.</t>
        </is>
      </c>
      <c r="G5"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3" t="n">
        <v>21.8</v>
      </c>
      <c r="I5" s="3" t="n">
        <v>17.2</v>
      </c>
      <c r="J5" s="3" t="n">
        <v>35.1</v>
      </c>
      <c r="K5" s="3" t="n">
        <v>8.6</v>
      </c>
      <c r="L5" s="3" t="n">
        <v>13.6</v>
      </c>
      <c r="M5" s="3" t="n">
        <v>21.8</v>
      </c>
    </row>
    <row r="6">
      <c r="A6" t="n">
        <v>2023</v>
      </c>
      <c r="B6" t="inlineStr">
        <is>
          <t>Medicaid</t>
        </is>
      </c>
      <c r="C6" t="inlineStr">
        <is>
          <t>Administrative</t>
        </is>
      </c>
      <c r="D6" t="inlineStr">
        <is>
          <t>Hospitalizations for Diabetes Short-Term Complications per 100,000 Beneficiary Months: Ages 18 to 64</t>
        </is>
      </c>
      <c r="E6" t="inlineStr">
        <is>
          <t>Lower values are better</t>
        </is>
      </c>
      <c r="F6" t="inlineStr">
        <is>
          <t>Mathematica analysis of the Quality Measure Reporting (QMR) system reports for the 2023 Core Set as of May 16, 2024.</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3" t="n">
        <v>18.4</v>
      </c>
      <c r="I6" s="3" t="n">
        <v>15.4</v>
      </c>
      <c r="J6" s="3" t="n">
        <v>28.9</v>
      </c>
      <c r="K6" s="3" t="n">
        <v>8.800000000000001</v>
      </c>
      <c r="L6" s="3" t="n">
        <v>13</v>
      </c>
      <c r="M6" s="3" t="n">
        <v>19</v>
      </c>
    </row>
    <row r="7">
      <c r="A7" t="n">
        <v>2024</v>
      </c>
      <c r="B7" t="inlineStr">
        <is>
          <t>Medicaid (Title XIX), Title XXI-funded Medicaid Expansion CHIP</t>
        </is>
      </c>
      <c r="C7" t="inlineStr">
        <is>
          <t>Administrative</t>
        </is>
      </c>
      <c r="D7" t="inlineStr">
        <is>
          <t>Hospitalizations for Diabetes Short-Term Complications per 100,000 Beneficiary Months: Ages 18 to 64</t>
        </is>
      </c>
      <c r="E7" t="inlineStr">
        <is>
          <t>Lower values are better</t>
        </is>
      </c>
      <c r="F7" t="inlineStr">
        <is>
          <t>Mathematica analysis of the Quality Measure Reporting (QMR) system reports for the 2024 Core Set as of April 28, 2025.</t>
        </is>
      </c>
      <c r="G7"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s="3" t="n">
        <v>17.1</v>
      </c>
      <c r="I7" s="3" t="n">
        <v>13.7</v>
      </c>
      <c r="J7" s="3" t="n">
        <v>27.2</v>
      </c>
      <c r="K7" s="3" t="n">
        <v>6.3</v>
      </c>
      <c r="L7" s="3" t="n">
        <v>12</v>
      </c>
      <c r="M7" s="3" t="n">
        <v>18.4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PQI 05: Chronic Obstructive Pulmonary Disease (COPD) or Asthma in Older Adults Admission Rate: Age 40 and Older (PQI05-AD)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Inpatient Hospital Admissions for Chronic Obstructive Pulmonary Disease (COPD) or Asthma per 100,000 Beneficiary Months: Ages 40 to 64</t>
        </is>
      </c>
      <c r="E4" t="inlineStr">
        <is>
          <t>Lower values are better</t>
        </is>
      </c>
      <c r="F4" t="inlineStr">
        <is>
          <t>Mathematica analysis of the Quality Measure Reporting (QMR) system reports for the FFY 2021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3" t="n">
        <v>85.5</v>
      </c>
      <c r="I4" s="3" t="n">
        <v>41.8</v>
      </c>
      <c r="J4" s="3" t="n">
        <v>163.9</v>
      </c>
      <c r="K4" s="3" t="n">
        <v>16.5</v>
      </c>
      <c r="L4" s="3" t="n">
        <v>29</v>
      </c>
      <c r="M4" s="3" t="n">
        <v>59.2</v>
      </c>
    </row>
    <row r="5">
      <c r="A5" t="n">
        <v>2022</v>
      </c>
      <c r="B5" t="inlineStr">
        <is>
          <t>Medicaid</t>
        </is>
      </c>
      <c r="C5" t="inlineStr">
        <is>
          <t>Administrative</t>
        </is>
      </c>
      <c r="D5" t="inlineStr">
        <is>
          <t>Inpatient Hospital Admissions for Chronic Obstructive Pulmonary Disease (COPD) or Asthma per 100,000 Beneficiary Months: Ages 40 to 64</t>
        </is>
      </c>
      <c r="E5" t="inlineStr">
        <is>
          <t>Lower values are better</t>
        </is>
      </c>
      <c r="F5" t="inlineStr">
        <is>
          <t>Mathematica analysis of the Quality Measure Reporting (QMR) system reports for the FFY 2022 reporting cycle as of June 1, 2023.</t>
        </is>
      </c>
      <c r="G5"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3" t="n">
        <v>65.90000000000001</v>
      </c>
      <c r="I5" s="3" t="n">
        <v>29.8</v>
      </c>
      <c r="J5" s="3" t="n">
        <v>258.8</v>
      </c>
      <c r="K5" s="3" t="n">
        <v>13.4</v>
      </c>
      <c r="L5" s="3" t="n">
        <v>23.2</v>
      </c>
      <c r="M5" s="3" t="n">
        <v>40.6</v>
      </c>
    </row>
    <row r="6">
      <c r="A6" t="n">
        <v>2023</v>
      </c>
      <c r="B6" t="inlineStr">
        <is>
          <t>Medicaid</t>
        </is>
      </c>
      <c r="C6" t="inlineStr">
        <is>
          <t>Administrative</t>
        </is>
      </c>
      <c r="D6" t="inlineStr">
        <is>
          <t>Hospitalizations for Chronic Obstructive Pulmonary Disease (COPD) or Asthma per 100,000 Beneficiary Months: Ages 40 to 64</t>
        </is>
      </c>
      <c r="E6" t="inlineStr">
        <is>
          <t>Lower values are better</t>
        </is>
      </c>
      <c r="F6" t="inlineStr">
        <is>
          <t>Mathematica analysis of the Quality Measure Reporting (QMR) system reports for the 2023 Core Set as of May 16, 2024.</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3" t="n">
        <v>55.3</v>
      </c>
      <c r="I6" s="3" t="n">
        <v>27</v>
      </c>
      <c r="J6" s="3" t="n">
        <v>287.5</v>
      </c>
      <c r="K6" s="3" t="n">
        <v>13.8</v>
      </c>
      <c r="L6" s="3" t="n">
        <v>21</v>
      </c>
      <c r="M6" s="3" t="n">
        <v>49.2</v>
      </c>
    </row>
    <row r="7">
      <c r="A7" t="n">
        <v>2024</v>
      </c>
      <c r="B7" t="inlineStr">
        <is>
          <t>Medicaid (Title XIX), Title XXI-funded Medicaid Expansion CHIP</t>
        </is>
      </c>
      <c r="C7" t="inlineStr">
        <is>
          <t>Administrative</t>
        </is>
      </c>
      <c r="D7" t="inlineStr">
        <is>
          <t>Hospitalizations for Chronic Obstructive Pulmonary Disease (COPD) or Asthma per 100,000 Beneficiary Months: Ages 40 to 64</t>
        </is>
      </c>
      <c r="E7" t="inlineStr">
        <is>
          <t>Lower values are better</t>
        </is>
      </c>
      <c r="F7" t="inlineStr">
        <is>
          <t>Mathematica analysis of the Quality Measure Reporting (QMR) system reports for the 2024 Core Set as of April 28, 2025.</t>
        </is>
      </c>
      <c r="G7"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s="3" t="n">
        <v>51.9</v>
      </c>
      <c r="I7" s="3" t="n">
        <v>24.7</v>
      </c>
      <c r="J7" s="3" t="n">
        <v>304.4</v>
      </c>
      <c r="K7" s="3" t="n">
        <v>11.1</v>
      </c>
      <c r="L7" s="3" t="n">
        <v>17.8</v>
      </c>
      <c r="M7" s="3" t="n">
        <v>37.2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PQI 08: Heart Failure Admission Rate: Age 18 and Older (PQI08-AD)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Inpatient Hospital Admissions for Heart Failure per 100,000 Beneficiary Months: Ages 18 to 64</t>
        </is>
      </c>
      <c r="E4" t="inlineStr">
        <is>
          <t>Lower values are better</t>
        </is>
      </c>
      <c r="F4" t="inlineStr">
        <is>
          <t>Mathematica analysis of the Quality Measure Reporting (QMR) system reports for the FFY 2021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3" t="n">
        <v>73</v>
      </c>
      <c r="I4" s="3" t="n">
        <v>24</v>
      </c>
      <c r="J4" s="3" t="n">
        <v>84.8</v>
      </c>
      <c r="K4" s="3" t="n">
        <v>7.1</v>
      </c>
      <c r="L4" s="3" t="n">
        <v>17.1</v>
      </c>
      <c r="M4" s="3" t="n">
        <v>37.1</v>
      </c>
    </row>
    <row r="5">
      <c r="A5" t="n">
        <v>2022</v>
      </c>
      <c r="B5" t="inlineStr">
        <is>
          <t>Medicaid</t>
        </is>
      </c>
      <c r="C5" t="inlineStr">
        <is>
          <t>Administrative</t>
        </is>
      </c>
      <c r="D5" t="inlineStr">
        <is>
          <t>Inpatient Hospital Admissions for Heart Failure per 100,000 Beneficiary Months: Ages 18 to 64</t>
        </is>
      </c>
      <c r="E5" t="inlineStr">
        <is>
          <t>Lower values are better</t>
        </is>
      </c>
      <c r="F5" t="inlineStr">
        <is>
          <t>Mathematica analysis of the Quality Measure Reporting (QMR) system reports for the FFY 2022 reporting cycle as of June 1, 2023.</t>
        </is>
      </c>
      <c r="G5"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3" t="n">
        <v>56</v>
      </c>
      <c r="I5" s="3" t="n">
        <v>23.9</v>
      </c>
      <c r="J5" s="3" t="n">
        <v>71.8</v>
      </c>
      <c r="K5" s="3" t="n">
        <v>5.2</v>
      </c>
      <c r="L5" s="3" t="n">
        <v>17.1</v>
      </c>
      <c r="M5" s="3" t="n">
        <v>33.4</v>
      </c>
    </row>
    <row r="6">
      <c r="A6" t="n">
        <v>2023</v>
      </c>
      <c r="B6" t="inlineStr">
        <is>
          <t>Medicaid</t>
        </is>
      </c>
      <c r="C6" t="inlineStr">
        <is>
          <t>Administrative</t>
        </is>
      </c>
      <c r="D6" t="inlineStr">
        <is>
          <t>Hospitalizations for Heart Failure per 100,000 Beneficiary Months: Ages 18 to 64</t>
        </is>
      </c>
      <c r="E6" t="inlineStr">
        <is>
          <t>Lower values are better</t>
        </is>
      </c>
      <c r="F6" t="inlineStr">
        <is>
          <t>Mathematica analysis of the Quality Measure Reporting (QMR) system reports for the 2023 Core Set as of May 16, 2024.</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3" t="n">
        <v>43.3</v>
      </c>
      <c r="I6" s="3" t="n">
        <v>22.2</v>
      </c>
      <c r="J6" s="3" t="n">
        <v>124.6</v>
      </c>
      <c r="K6" s="3" t="n">
        <v>4.4</v>
      </c>
      <c r="L6" s="3" t="n">
        <v>16.8</v>
      </c>
      <c r="M6" s="3" t="n">
        <v>35.5</v>
      </c>
    </row>
    <row r="7">
      <c r="A7" t="n">
        <v>2024</v>
      </c>
      <c r="B7" t="inlineStr">
        <is>
          <t>Medicaid (Title XIX), Title XXI-funded Medicaid Expansion CHIP</t>
        </is>
      </c>
      <c r="C7" t="inlineStr">
        <is>
          <t>Administrative</t>
        </is>
      </c>
      <c r="D7" t="inlineStr">
        <is>
          <t>Hospitalizations for Heart Failure per 100,000 Beneficiary Months: Ages 18 to 64</t>
        </is>
      </c>
      <c r="E7" t="inlineStr">
        <is>
          <t>Lower values are better</t>
        </is>
      </c>
      <c r="F7" t="inlineStr">
        <is>
          <t>Mathematica analysis of the Quality Measure Reporting (QMR) system reports for the 2024 Core Set as of April 28, 2025.</t>
        </is>
      </c>
      <c r="G7"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s="3" t="n">
        <v>38.2</v>
      </c>
      <c r="I7" s="3" t="n">
        <v>20.6</v>
      </c>
      <c r="J7" s="3" t="n">
        <v>94.59999999999999</v>
      </c>
      <c r="K7" s="3" t="n">
        <v>4.8</v>
      </c>
      <c r="L7" s="3" t="n">
        <v>15.9</v>
      </c>
      <c r="M7" s="3" t="n">
        <v>36.3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PQI 15: Asthma in Younger Adults Admission Rate: Ages 18 to 39 (PQI15-AD)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Inpatient Hospital Admissions for Asthma per 100,000 Beneficiary Months: Ages 18 to 39</t>
        </is>
      </c>
      <c r="E4" t="inlineStr">
        <is>
          <t>Lower values are better</t>
        </is>
      </c>
      <c r="F4" t="inlineStr">
        <is>
          <t>Mathematica analysis of the Quality Measure Reporting (QMR) system reports for the FFY 2021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3" t="n">
        <v>3</v>
      </c>
      <c r="I4" s="3" t="n">
        <v>3.5</v>
      </c>
      <c r="J4" s="3" t="n">
        <v>12.8</v>
      </c>
      <c r="K4" s="3" t="n">
        <v>1.6</v>
      </c>
      <c r="L4" s="3" t="n">
        <v>2.5</v>
      </c>
      <c r="M4" s="3" t="n">
        <v>5.2</v>
      </c>
    </row>
    <row r="5">
      <c r="A5" t="n">
        <v>2022</v>
      </c>
      <c r="B5" t="inlineStr">
        <is>
          <t>Medicaid</t>
        </is>
      </c>
      <c r="C5" t="inlineStr">
        <is>
          <t>Administrative</t>
        </is>
      </c>
      <c r="D5" t="inlineStr">
        <is>
          <t>Inpatient Hospital Admissions for Asthma per 100,000 Beneficiary Months: Ages 18 to 39</t>
        </is>
      </c>
      <c r="E5" t="inlineStr">
        <is>
          <t>Lower values are better</t>
        </is>
      </c>
      <c r="F5" t="inlineStr">
        <is>
          <t>Mathematica analysis of the Quality Measure Reporting (QMR) system reports for the FFY 2022 reporting cycle as of June 1, 2023.</t>
        </is>
      </c>
      <c r="G5"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s="3" t="n">
        <v>2.2</v>
      </c>
      <c r="I5" s="3" t="n">
        <v>3.1</v>
      </c>
      <c r="J5" s="3" t="n">
        <v>27.1</v>
      </c>
      <c r="K5" s="3" t="n">
        <v>1.2</v>
      </c>
      <c r="L5" s="3" t="n">
        <v>2.2</v>
      </c>
      <c r="M5" s="3" t="n">
        <v>4.7</v>
      </c>
    </row>
    <row r="6">
      <c r="A6" t="n">
        <v>2023</v>
      </c>
      <c r="B6" t="inlineStr">
        <is>
          <t>Medicaid</t>
        </is>
      </c>
      <c r="C6" t="inlineStr">
        <is>
          <t>Administrative</t>
        </is>
      </c>
      <c r="D6" t="inlineStr">
        <is>
          <t>Hospitalizations for Asthma per 100,000 Beneficiary Months: Ages 18 to 39</t>
        </is>
      </c>
      <c r="E6" t="inlineStr">
        <is>
          <t>Lower values are better</t>
        </is>
      </c>
      <c r="F6" t="inlineStr">
        <is>
          <t>Mathematica analysis of the Quality Measure Reporting (QMR) system reports for the 2023 Core Set as of May 16, 2024.</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6" s="3" t="n">
        <v>2.2</v>
      </c>
      <c r="I6" s="3" t="n">
        <v>2.8</v>
      </c>
      <c r="J6" s="3" t="n">
        <v>32.1</v>
      </c>
      <c r="K6" s="3" t="n">
        <v>1.2</v>
      </c>
      <c r="L6" s="3" t="n">
        <v>2</v>
      </c>
      <c r="M6" s="3" t="n">
        <v>4.2</v>
      </c>
    </row>
    <row r="7">
      <c r="A7" t="n">
        <v>2024</v>
      </c>
      <c r="B7" t="inlineStr">
        <is>
          <t>Medicaid (Title XIX), Title XXI-funded Medicaid Expansion CHIP</t>
        </is>
      </c>
      <c r="C7" t="inlineStr">
        <is>
          <t>Administrative</t>
        </is>
      </c>
      <c r="D7" t="inlineStr">
        <is>
          <t>Hospitalizations for Asthma per 100,000 Beneficiary Months: Ages 18 to 39</t>
        </is>
      </c>
      <c r="E7" t="inlineStr">
        <is>
          <t>Lower values are better</t>
        </is>
      </c>
      <c r="F7" t="inlineStr">
        <is>
          <t>Mathematica analysis of the Quality Measure Reporting (QMR) system reports for the 2024 Core Set as of April 28, 2025.</t>
        </is>
      </c>
      <c r="G7"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s="3" t="n">
        <v>1.9</v>
      </c>
      <c r="I7" s="3" t="n">
        <v>2.7</v>
      </c>
      <c r="J7" s="3" t="n">
        <v>17</v>
      </c>
      <c r="K7" s="3" t="n">
        <v>1.2</v>
      </c>
      <c r="L7" s="3" t="n">
        <v>1.8</v>
      </c>
      <c r="M7" s="3" t="n">
        <v>3.5</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15" customWidth="1" min="1" max="1"/>
    <col width="15" customWidth="1" min="2" max="2"/>
    <col width="25" customWidth="1" min="3" max="3"/>
    <col width="60" customWidth="1" min="4" max="4"/>
    <col width="26" customWidth="1" min="5" max="5"/>
    <col width="60" customWidth="1" min="6" max="6"/>
    <col width="60" customWidth="1" min="7" max="7"/>
    <col width="1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Prenatal and Postpartum Care: Timeliness of Prenatal Care (PPC-CH)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only</t>
        </is>
      </c>
      <c r="C4" t="inlineStr">
        <is>
          <t>Administrative</t>
        </is>
      </c>
      <c r="D4" t="inlineStr">
        <is>
          <t>Percentage of Women Delivering a Live Birth with a Prenatal Care Visit in the First Trimester, on or before the enrollment start date, or within 42 Days of Enrollment in Medicaid or CHIP</t>
        </is>
      </c>
      <c r="E4" t="inlineStr">
        <is>
          <t>Higher values are better</t>
        </is>
      </c>
      <c r="F4" t="inlineStr">
        <is>
          <t>Mathematica analysis of the Quality Measure Reporting (QMR) system reports for the FFY 2021 reporting cycle as of June 1, 2023.</t>
        </is>
      </c>
      <c r="G4" t="inlineStr">
        <is>
          <t>State-specific comments: Medicaid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4" s="4" t="n">
        <v>0.667</v>
      </c>
      <c r="I4" s="4" t="n">
        <v>0.819</v>
      </c>
      <c r="J4" s="4" t="n">
        <v>0.946</v>
      </c>
      <c r="K4" s="4" t="n">
        <v>0.293</v>
      </c>
      <c r="L4" s="4" t="n">
        <v>0.754</v>
      </c>
      <c r="M4" s="4" t="n">
        <v>0.865</v>
      </c>
    </row>
    <row r="5">
      <c r="A5" t="n">
        <v>2021</v>
      </c>
      <c r="B5" t="inlineStr">
        <is>
          <t>CHIP only</t>
        </is>
      </c>
      <c r="C5" t="inlineStr">
        <is>
          <t>Administrative</t>
        </is>
      </c>
      <c r="D5" t="inlineStr">
        <is>
          <t>Percentage of Women Delivering a Live Birth with a Prenatal Care Visit in the First Trimester, on or before the enrollment start date, or within 42 Days of Enrollment in Medicaid or CHIP</t>
        </is>
      </c>
      <c r="E5" t="inlineStr">
        <is>
          <t>Higher values are better</t>
        </is>
      </c>
      <c r="F5" t="inlineStr">
        <is>
          <t>Mathematica analysis of the Quality Measure Reporting (QMR) system reports for the FFY 2021 reporting cycle as of June 1, 2023.</t>
        </is>
      </c>
      <c r="G5"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5" t="inlineStr">
        <is>
          <t>Data suppressed</t>
        </is>
      </c>
      <c r="I5" s="4" t="n">
        <v>0.819</v>
      </c>
      <c r="J5" s="4" t="n">
        <v>0.946</v>
      </c>
      <c r="K5" s="4" t="n">
        <v>0.293</v>
      </c>
      <c r="L5" s="4" t="n">
        <v>0.754</v>
      </c>
      <c r="M5" s="4" t="n">
        <v>0.865</v>
      </c>
    </row>
    <row r="6">
      <c r="A6" t="n">
        <v>2022</v>
      </c>
      <c r="B6" t="inlineStr">
        <is>
          <t>Medicaid only</t>
        </is>
      </c>
      <c r="C6" t="inlineStr">
        <is>
          <t>Administrative &amp; Hybrid</t>
        </is>
      </c>
      <c r="D6" t="inlineStr">
        <is>
          <t>Percentage of Women Delivering a Live Birth with a Prenatal Care Visit in the First Trimester, on or before the enrollment start date, or within 42 Days of Enrollment in Medicaid or CHIP</t>
        </is>
      </c>
      <c r="E6" t="inlineStr">
        <is>
          <t>Higher values are better</t>
        </is>
      </c>
      <c r="F6" t="inlineStr">
        <is>
          <t>Mathematica analysis of the Quality Measure Reporting (QMR) system reports for the FFY 2022 reporting cycle as of June 1, 2023.</t>
        </is>
      </c>
      <c r="G6" t="inlineStr">
        <is>
          <t>State-specific comments: Medicaid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derived using both administrative and hybrid method data. Hybrid data was used for State of Texas Access Reform (STAR) (16 MCOs). Other managed care programs (a total of 11 MCOs) and FFS used administrative data. Denominator is the measure-eligible population. Rate was audited or validated.</t>
        </is>
      </c>
      <c r="H6" s="4" t="n">
        <v>0.839</v>
      </c>
      <c r="I6" s="4" t="n">
        <v>0.8149999999999999</v>
      </c>
      <c r="J6" s="4" t="n">
        <v>0.926</v>
      </c>
      <c r="K6" s="4" t="n">
        <v>0.256</v>
      </c>
      <c r="L6" s="4" t="n">
        <v>0.752</v>
      </c>
      <c r="M6" s="4" t="n">
        <v>0.872</v>
      </c>
    </row>
    <row r="7">
      <c r="A7" t="n">
        <v>2022</v>
      </c>
      <c r="B7" t="inlineStr">
        <is>
          <t>CHIP only</t>
        </is>
      </c>
      <c r="C7" t="inlineStr">
        <is>
          <t>Administrative</t>
        </is>
      </c>
      <c r="D7" t="inlineStr">
        <is>
          <t>Percentage of Women Delivering a Live Birth with a Prenatal Care Visit in the First Trimester, on or before the enrollment start date, or within 42 Days of Enrollment in Medicaid or CHIP</t>
        </is>
      </c>
      <c r="E7" t="inlineStr">
        <is>
          <t>Higher values are better</t>
        </is>
      </c>
      <c r="F7" t="inlineStr">
        <is>
          <t>Mathematica analysis of the Quality Measure Reporting (QMR) system reports for the FFY 2022 reporting cycle as of June 1, 2023.</t>
        </is>
      </c>
      <c r="G7"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H7" t="inlineStr">
        <is>
          <t>Data suppressed</t>
        </is>
      </c>
      <c r="I7" s="4" t="n">
        <v>0.8149999999999999</v>
      </c>
      <c r="J7" s="4" t="n">
        <v>0.926</v>
      </c>
      <c r="K7" s="4" t="n">
        <v>0.256</v>
      </c>
      <c r="L7" s="4" t="n">
        <v>0.752</v>
      </c>
      <c r="M7" s="4" t="n">
        <v>0.872</v>
      </c>
    </row>
    <row r="8">
      <c r="A8" t="n">
        <v>2023</v>
      </c>
      <c r="B8" t="inlineStr">
        <is>
          <t>Medicaid only</t>
        </is>
      </c>
      <c r="C8" t="inlineStr">
        <is>
          <t>Administrative &amp; Hybrid</t>
        </is>
      </c>
      <c r="D8" t="inlineStr">
        <is>
          <t>Percentage of Women Delivering a Live Birth with a Prenatal Care Visit in the First Trimester, on or before the Enrollment Start Date, or within 42 Days of Enrollment in Medicaid or CHIP</t>
        </is>
      </c>
      <c r="E8" t="inlineStr">
        <is>
          <t>Higher values are better</t>
        </is>
      </c>
      <c r="F8" t="inlineStr">
        <is>
          <t>Mathematica analysis of the Quality Measure Reporting (QMR) system reports for the 2023 Core Set as of May 16, 2024.</t>
        </is>
      </c>
      <c r="G8"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derived using both administrative and hybrid method data. For FFY 2023 PPC, State of Texas Access Reform (STAR) used hybrid collection method, while STAR Health, STAR Kids, STAR+PLUS, and FFS contributed administrative data. Denominator is the measure-eligible population. Rate was audited or validated.</t>
        </is>
      </c>
      <c r="H8" s="4" t="n">
        <v>0.8179999999999999</v>
      </c>
      <c r="I8" s="4" t="n">
        <v>0.8</v>
      </c>
      <c r="J8" s="4" t="n">
        <v>0.92</v>
      </c>
      <c r="K8" s="4" t="n">
        <v>0.265</v>
      </c>
      <c r="L8" s="4" t="n">
        <v>0.729</v>
      </c>
      <c r="M8" s="4" t="n">
        <v>0.844</v>
      </c>
    </row>
    <row r="9">
      <c r="A9" t="n">
        <v>2023</v>
      </c>
      <c r="B9" t="inlineStr">
        <is>
          <t>CHIP only</t>
        </is>
      </c>
      <c r="C9" t="inlineStr"/>
      <c r="D9" t="inlineStr">
        <is>
          <t>Percentage of Women Delivering a Live Birth with a Prenatal Care Visit in the First Trimester, on or before the Enrollment Start Date, or within 42 Days of Enrollment in Medicaid or CHIP</t>
        </is>
      </c>
      <c r="E9" t="inlineStr">
        <is>
          <t>Higher values are better</t>
        </is>
      </c>
      <c r="F9" t="inlineStr">
        <is>
          <t>Mathematica analysis of the Quality Measure Reporting (QMR) system reports for the 2023 Core Set as of May 16, 2024.</t>
        </is>
      </c>
      <c r="G9" t="inlineStr">
        <is>
          <t>State-specific comments: None</t>
        </is>
      </c>
      <c r="H9" t="inlineStr">
        <is>
          <t>Not Reported</t>
        </is>
      </c>
      <c r="I9" s="4" t="n">
        <v>0.8</v>
      </c>
      <c r="J9" s="4" t="n">
        <v>0.92</v>
      </c>
      <c r="K9" s="4" t="n">
        <v>0.265</v>
      </c>
      <c r="L9" s="4" t="n">
        <v>0.729</v>
      </c>
      <c r="M9" s="4" t="n">
        <v>0.844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15" customWidth="1" min="1" max="1"/>
    <col width="12" customWidth="1" min="2" max="2"/>
    <col width="25"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Prenatal and Postpartum Care: Postpartum Care (PPC-AD)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of Women Delivering a Live Birth who had a Postpartum Care Visit on or Between 7 and 84 Days after Delivery</t>
        </is>
      </c>
      <c r="E4" t="inlineStr">
        <is>
          <t>Higher values are better</t>
        </is>
      </c>
      <c r="F4" t="inlineStr">
        <is>
          <t>Mathematica analysis of the Quality Measure Reporting (QMR) system reports for the FFY 2021 reporting cycle as of June 1, 2023.</t>
        </is>
      </c>
      <c r="G4"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 Due to COVID-19, PPC data for FFY 2021 was entirely administrative data, which for Texas is historically associated with lower capturing rate of numerators.</t>
        </is>
      </c>
      <c r="H4" s="4" t="n">
        <v>0.68</v>
      </c>
      <c r="I4" s="4" t="n">
        <v>0.733</v>
      </c>
      <c r="J4" s="4" t="n">
        <v>0.929</v>
      </c>
      <c r="K4" s="4" t="n">
        <v>0.29</v>
      </c>
      <c r="L4" s="4" t="n">
        <v>0.639</v>
      </c>
      <c r="M4" s="4" t="n">
        <v>0.762</v>
      </c>
    </row>
    <row r="5">
      <c r="A5" t="n">
        <v>2022</v>
      </c>
      <c r="B5" t="inlineStr">
        <is>
          <t>Medicaid</t>
        </is>
      </c>
      <c r="C5" t="inlineStr">
        <is>
          <t>Administrative &amp; Hybrid</t>
        </is>
      </c>
      <c r="D5" t="inlineStr">
        <is>
          <t>Percentage of Women Delivering a Live Birth who had a Postpartum Care Visit on or Between 7 and 84 Days after Delivery</t>
        </is>
      </c>
      <c r="E5" t="inlineStr">
        <is>
          <t>Higher values are better</t>
        </is>
      </c>
      <c r="F5" t="inlineStr">
        <is>
          <t>Mathematica analysis of the Quality Measure Reporting (QMR) system reports for the FFY 2022 reporting cycle as of June 1, 2023.</t>
        </is>
      </c>
      <c r="G5" t="inlineStr">
        <is>
          <t>State-specific comments: Rate includes FFS and managed care populations (17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derived using both administrative and hybrid method data. Hybrid data was used for State of Texas Access Reform (STAR) (16 MCOs). Other managed care programs (a combined total of 11 MCOs) and FFS used administrative data. Note that many MCOs provide service to multiple Texas Medicaid managed care programs. Denominator is the measure-eligible population. Rate was audited or validated.</t>
        </is>
      </c>
      <c r="H5" s="4" t="n">
        <v>0.755</v>
      </c>
      <c r="I5" s="4" t="n">
        <v>0.75</v>
      </c>
      <c r="J5" s="4" t="n">
        <v>0.919</v>
      </c>
      <c r="K5" s="4" t="n">
        <v>0.306</v>
      </c>
      <c r="L5" s="4" t="n">
        <v>0.651</v>
      </c>
      <c r="M5" s="4" t="n">
        <v>0.786</v>
      </c>
    </row>
    <row r="6">
      <c r="A6" t="n">
        <v>2023</v>
      </c>
      <c r="B6" t="inlineStr">
        <is>
          <t>Medicaid</t>
        </is>
      </c>
      <c r="C6" t="inlineStr">
        <is>
          <t>Administrative &amp; Hybrid</t>
        </is>
      </c>
      <c r="D6" t="inlineStr">
        <is>
          <t>Percentage of Women Delivering a Live Birth who had a Postpartum Care Visit on or Between 7 and 84 Days after Delivery</t>
        </is>
      </c>
      <c r="E6" t="inlineStr">
        <is>
          <t>Higher values are better</t>
        </is>
      </c>
      <c r="F6" t="inlineStr">
        <is>
          <t>Mathematica analysis of the Quality Measure Reporting (QMR) system reports for the 2023 Core Set as of May 16, 2024.</t>
        </is>
      </c>
      <c r="G6" t="inlineStr">
        <is>
          <t>State-specific comments: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derived using both administrative and hybrid method data. For FFY 2023 PPC-AD, State of Texas Access Reform (STAR) program used hybrid data collection, while all other programs contributed administrative data. Denominator is the measure-eligible population. Rate was audited or validated.</t>
        </is>
      </c>
      <c r="H6" s="4" t="n">
        <v>0.774</v>
      </c>
      <c r="I6" s="4" t="n">
        <v>0.756</v>
      </c>
      <c r="J6" s="4" t="n">
        <v>0.869</v>
      </c>
      <c r="K6" s="4" t="n">
        <v>0.301</v>
      </c>
      <c r="L6" s="4" t="n">
        <v>0.6929999999999999</v>
      </c>
      <c r="M6" s="4" t="n">
        <v>0.792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17" customWidth="1" min="1" max="1"/>
    <col width="13" customWidth="1" min="2" max="2"/>
    <col width="60" customWidth="1" min="3" max="3"/>
    <col width="16" customWidth="1" min="4" max="4"/>
    <col width="60" customWidth="1" min="5" max="5"/>
    <col width="26" customWidth="1" min="6" max="6"/>
    <col width="60" customWidth="1" min="7" max="7"/>
    <col width="60" customWidth="1" min="8" max="8"/>
    <col width="1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Prenatal and Postpartum Care: Under Age 21 (PPC2-CH)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Postpartum Care</t>
        </is>
      </c>
      <c r="B4" t="n">
        <v>2024</v>
      </c>
      <c r="C4" t="inlineStr">
        <is>
          <t>Medicaid (Title XIX), Title XXI-funded Medicaid Expansion CHIP, Separate CHIP (Title XXI)</t>
        </is>
      </c>
      <c r="D4" t="inlineStr">
        <is>
          <t>Administrative</t>
        </is>
      </c>
      <c r="E4" t="inlineStr">
        <is>
          <t>Percentage of Women Under Age 21 Delivering a Live Birth who had a Postpartum Care Visit on or Between 7 and 84 Days after Delivery</t>
        </is>
      </c>
      <c r="F4" t="inlineStr">
        <is>
          <t>Higher values are better</t>
        </is>
      </c>
      <c r="G4" t="inlineStr">
        <is>
          <t>Mathematica analysis of the Quality Measure Reporting (QMR) system reports for the 2024 Core Set as of April 28, 2025.</t>
        </is>
      </c>
      <c r="H4" t="inlineStr">
        <is>
          <t>State-specific comments: Rate combines the Medicaid and separate CHIP data reported by the state in the QMR system. See Medicaid and separate CHIP state-specific comments for information about the data reported for each population.</t>
        </is>
      </c>
      <c r="I4" s="4" t="n">
        <v>0.663</v>
      </c>
      <c r="J4" s="4" t="n">
        <v>0.61</v>
      </c>
      <c r="K4" s="4" t="n">
        <v>0.882</v>
      </c>
      <c r="L4" s="4" t="n">
        <v>0.119</v>
      </c>
      <c r="M4" s="4" t="n">
        <v>0.475</v>
      </c>
      <c r="N4" s="4" t="n">
        <v>0.667</v>
      </c>
    </row>
    <row r="5">
      <c r="A5" t="inlineStr">
        <is>
          <t>Postpartum Care</t>
        </is>
      </c>
      <c r="B5" t="n">
        <v>2024</v>
      </c>
      <c r="C5" t="inlineStr">
        <is>
          <t>Medicaid (Title XIX), Title XXI-funded Medicaid Expansion CHIP</t>
        </is>
      </c>
      <c r="D5" t="inlineStr">
        <is>
          <t>Administrative</t>
        </is>
      </c>
      <c r="E5" t="inlineStr">
        <is>
          <t>Percentage of Women Under Age 21 Delivering a Live Birth who had a Postpartum Care Visit on or Between 7 and 84 Days after Delivery</t>
        </is>
      </c>
      <c r="F5" t="inlineStr">
        <is>
          <t>Higher values are better</t>
        </is>
      </c>
      <c r="G5" t="inlineStr">
        <is>
          <t>Mathematica analysis of the Quality Measure Reporting (QMR) system reports for the 2024 Core Set as of April 28, 2025.</t>
        </is>
      </c>
      <c r="H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0.663</v>
      </c>
      <c r="J5" s="4" t="n">
        <v>0.61</v>
      </c>
      <c r="K5" s="4" t="n">
        <v>0.882</v>
      </c>
      <c r="L5" s="4" t="n">
        <v>0.119</v>
      </c>
      <c r="M5" s="4" t="n">
        <v>0.475</v>
      </c>
      <c r="N5" s="4" t="n">
        <v>0.667</v>
      </c>
    </row>
    <row r="6">
      <c r="A6" t="inlineStr">
        <is>
          <t>Postpartum Care</t>
        </is>
      </c>
      <c r="B6" t="n">
        <v>2024</v>
      </c>
      <c r="C6" t="inlineStr">
        <is>
          <t>Separate CHIP (Title XXI)</t>
        </is>
      </c>
      <c r="D6" t="inlineStr">
        <is>
          <t>Administrative</t>
        </is>
      </c>
      <c r="E6" t="inlineStr">
        <is>
          <t>Percentage of Women Under Age 21 Delivering a Live Birth who had a Postpartum Care Visit on or Between 7 and 84 Days after Delivery</t>
        </is>
      </c>
      <c r="F6" t="inlineStr">
        <is>
          <t>Higher values are better</t>
        </is>
      </c>
      <c r="G6" t="inlineStr">
        <is>
          <t>Mathematica analysis of the Quality Measure Reporting (QMR) system reports for the 2024 Core Set as of April 28, 2025.</t>
        </is>
      </c>
      <c r="H6"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t="inlineStr">
        <is>
          <t>Data suppressed</t>
        </is>
      </c>
      <c r="J6" s="4" t="n">
        <v>0.61</v>
      </c>
      <c r="K6" s="4" t="n">
        <v>0.882</v>
      </c>
      <c r="L6" s="4" t="n">
        <v>0.119</v>
      </c>
      <c r="M6" s="4" t="n">
        <v>0.475</v>
      </c>
      <c r="N6" s="4" t="n">
        <v>0.667</v>
      </c>
    </row>
    <row r="7">
      <c r="A7" t="inlineStr">
        <is>
          <t>Prenatal Care</t>
        </is>
      </c>
      <c r="B7" t="n">
        <v>2024</v>
      </c>
      <c r="C7" t="inlineStr">
        <is>
          <t>Medicaid (Title XIX), Title XXI-funded Medicaid Expansion CHIP, Separate CHIP (Title XXI)</t>
        </is>
      </c>
      <c r="D7" t="inlineStr">
        <is>
          <t>Administrative</t>
        </is>
      </c>
      <c r="E7" t="inlineStr">
        <is>
          <t>Percentage of Women Under Age 21 Delivering a Live Birth with a Prenatal Care Visit in the First Trimester, on or before the Enrollment Start Date, or within 42 Days of Enrollment in Medicaid or CHIP</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0.658</v>
      </c>
      <c r="J7" s="4" t="n">
        <v>0.64</v>
      </c>
      <c r="K7" s="4" t="n">
        <v>0.839</v>
      </c>
      <c r="L7" s="4" t="n">
        <v>0.258</v>
      </c>
      <c r="M7" s="4" t="n">
        <v>0.515</v>
      </c>
      <c r="N7" s="4" t="n">
        <v>0.701</v>
      </c>
    </row>
    <row r="8">
      <c r="A8" t="inlineStr">
        <is>
          <t>Prenatal Care</t>
        </is>
      </c>
      <c r="B8" t="n">
        <v>2024</v>
      </c>
      <c r="C8" t="inlineStr">
        <is>
          <t>Medicaid (Title XIX), Title XXI-funded Medicaid Expansion CHIP</t>
        </is>
      </c>
      <c r="D8" t="inlineStr">
        <is>
          <t>Administrative</t>
        </is>
      </c>
      <c r="E8" t="inlineStr">
        <is>
          <t>Percentage of Women Under Age 21 Delivering a Live Birth with a Prenatal Care Visit in the First Trimester, on or before the Enrollment Start Date, or within 42 Days of Enrollment in Medicaid or CHIP</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0.658</v>
      </c>
      <c r="J8" s="4" t="n">
        <v>0.64</v>
      </c>
      <c r="K8" s="4" t="n">
        <v>0.839</v>
      </c>
      <c r="L8" s="4" t="n">
        <v>0.258</v>
      </c>
      <c r="M8" s="4" t="n">
        <v>0.515</v>
      </c>
      <c r="N8" s="4" t="n">
        <v>0.701</v>
      </c>
    </row>
    <row r="9">
      <c r="A9" t="inlineStr">
        <is>
          <t>Prenatal Care</t>
        </is>
      </c>
      <c r="B9" t="n">
        <v>2024</v>
      </c>
      <c r="C9" t="inlineStr">
        <is>
          <t>Separate CHIP (Title XXI)</t>
        </is>
      </c>
      <c r="D9" t="inlineStr">
        <is>
          <t>Administrative</t>
        </is>
      </c>
      <c r="E9" t="inlineStr">
        <is>
          <t>Percentage of Women Under Age 21 Delivering a Live Birth with a Prenatal Care Visit in the First Trimester, on or before the Enrollment Start Date, or within 42 Days of Enrollment in Medicaid or CHIP</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t="inlineStr">
        <is>
          <t>Data suppressed</t>
        </is>
      </c>
      <c r="J9" s="4" t="n">
        <v>0.64</v>
      </c>
      <c r="K9" s="4" t="n">
        <v>0.839</v>
      </c>
      <c r="L9" s="4" t="n">
        <v>0.258</v>
      </c>
      <c r="M9" s="4" t="n">
        <v>0.515</v>
      </c>
      <c r="N9" s="4" t="n">
        <v>0.701</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17"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Prenatal and Postpartum Care: Age 21 and Older (PPC2-AD)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Postpartum Care</t>
        </is>
      </c>
      <c r="B4" t="n">
        <v>2024</v>
      </c>
      <c r="C4" t="inlineStr">
        <is>
          <t>Medicaid (Title XIX), Title XXI-funded Medicaid Expansion CHIP</t>
        </is>
      </c>
      <c r="D4" t="inlineStr">
        <is>
          <t>Administrative</t>
        </is>
      </c>
      <c r="E4" t="inlineStr">
        <is>
          <t>Percentage of Women Age 21 and Older Delivering a Live Birth who had a Postpartum Care Visit on or Between 7 and 84 Days after Delivery</t>
        </is>
      </c>
      <c r="F4" t="inlineStr">
        <is>
          <t>Higher values are better</t>
        </is>
      </c>
      <c r="G4" t="inlineStr">
        <is>
          <t>Mathematica analysis of the Quality Measure Reporting (QMR) system reports for the 2024 Core Set as of April 28, 2025.</t>
        </is>
      </c>
      <c r="H4"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0.68</v>
      </c>
      <c r="J4" s="4" t="n">
        <v>0.645</v>
      </c>
      <c r="K4" s="4" t="n">
        <v>0.951</v>
      </c>
      <c r="L4" s="4" t="n">
        <v>0.156</v>
      </c>
      <c r="M4" s="4" t="n">
        <v>0.593</v>
      </c>
      <c r="N4" s="4" t="n">
        <v>0.735</v>
      </c>
    </row>
    <row r="5">
      <c r="A5" t="inlineStr">
        <is>
          <t>Prenatal Care</t>
        </is>
      </c>
      <c r="B5" t="n">
        <v>2024</v>
      </c>
      <c r="C5" t="inlineStr">
        <is>
          <t>Medicaid (Title XIX), Title XXI-funded Medicaid Expansion CHIP</t>
        </is>
      </c>
      <c r="D5" t="inlineStr">
        <is>
          <t>Administrative</t>
        </is>
      </c>
      <c r="E5" t="inlineStr">
        <is>
          <t>Percentage of Women Age 21 and Older Delivering a Live Birth with a Prenatal Care Visit in the First Trimester, on or before the Enrollment Start Date, or within 42 Days of Enrollment in Medicaid or CHIP</t>
        </is>
      </c>
      <c r="F5" t="inlineStr">
        <is>
          <t>Higher values are better</t>
        </is>
      </c>
      <c r="G5" t="inlineStr">
        <is>
          <t>Mathematica analysis of the Quality Measure Reporting (QMR) system reports for the 2024 Core Set as of April 28, 2025.</t>
        </is>
      </c>
      <c r="H5" t="inlineStr">
        <is>
          <t>State-specific comments: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0.728</v>
      </c>
      <c r="J5" s="4" t="n">
        <v>0.718</v>
      </c>
      <c r="K5" s="4" t="n">
        <v>0.984</v>
      </c>
      <c r="L5" s="4" t="n">
        <v>0.35</v>
      </c>
      <c r="M5" s="4" t="n">
        <v>0.603</v>
      </c>
      <c r="N5" s="4" t="n">
        <v>0.805</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60" customWidth="1" min="5" max="5"/>
    <col width="60" customWidth="1" min="6" max="6"/>
    <col width="60" customWidth="1" min="7" max="7"/>
    <col width="8" customWidth="1" min="8" max="8"/>
    <col width="9" customWidth="1" min="9" max="9"/>
    <col width="9" customWidth="1" min="10" max="10"/>
    <col width="16" customWidth="1" min="11" max="11"/>
    <col width="16" customWidth="1" min="12" max="12"/>
  </cols>
  <sheetData>
    <row r="1">
      <c r="A1" t="inlineStr">
        <is>
          <t>Measure Name</t>
        </is>
      </c>
      <c r="B1" t="inlineStr">
        <is>
          <t>Screening for Depression and Follow-Up Plan: Ages 12 to 17 (CDF-CH)</t>
        </is>
      </c>
    </row>
    <row r="2"/>
    <row r="3">
      <c r="A3" s="1" t="inlineStr">
        <is>
          <t>Data Period</t>
        </is>
      </c>
      <c r="B3" s="1" t="inlineStr">
        <is>
          <t>Population</t>
        </is>
      </c>
      <c r="C3" s="1" t="inlineStr">
        <is>
          <t>Methodology</t>
        </is>
      </c>
      <c r="D3" s="1" t="inlineStr">
        <is>
          <t>Value Type</t>
        </is>
      </c>
      <c r="E3" s="1" t="inlineStr">
        <is>
          <t>Analysis Source</t>
        </is>
      </c>
      <c r="F3" s="1" t="inlineStr">
        <is>
          <t>Notes</t>
        </is>
      </c>
      <c r="G3" s="1" t="inlineStr">
        <is>
          <t>Value</t>
        </is>
      </c>
      <c r="H3" s="1" t="inlineStr">
        <is>
          <t>Median</t>
        </is>
      </c>
      <c r="I3" s="1" t="inlineStr">
        <is>
          <t>Maximum</t>
        </is>
      </c>
      <c r="J3" s="1" t="inlineStr">
        <is>
          <t>Minimum</t>
        </is>
      </c>
      <c r="K3" s="1" t="inlineStr">
        <is>
          <t>First quartile</t>
        </is>
      </c>
      <c r="L3" s="1" t="inlineStr">
        <is>
          <t>Third quartile</t>
        </is>
      </c>
    </row>
    <row r="4">
      <c r="A4" t="n">
        <v>2024</v>
      </c>
      <c r="B4" t="inlineStr">
        <is>
          <t>Medicaid (Title XIX), Title XXI-funded Medicaid Expansion CHIP, Separate CHIP (Title XXI)</t>
        </is>
      </c>
      <c r="C4" t="inlineStr">
        <is>
          <t>Administrative</t>
        </is>
      </c>
      <c r="D4" t="inlineStr">
        <is>
          <t>Percentage Screened for Depression and, if Positive, Provided a Follow-Up Plan: Ages 12 to 17</t>
        </is>
      </c>
      <c r="E4" t="inlineStr">
        <is>
          <t>Mathematica analysis of the Quality Measure Reporting (QMR) system reports for the 2024 Core Set as of April 28, 2025.</t>
        </is>
      </c>
      <c r="F4" t="inlineStr">
        <is>
          <t>State-specific comments: Rate combines the Medicaid and separate CHIP data reported by the state in the QMR system. See Medicaid and separate CHIP state-specific comments for information about the data reported for each population.</t>
        </is>
      </c>
      <c r="G4" t="inlineStr">
        <is>
          <t>Reported by state (CMS is not reporting state performance for this measure)</t>
        </is>
      </c>
      <c r="H4" s="4" t="n">
        <v>0.02</v>
      </c>
      <c r="I4" s="4" t="n">
        <v>0.465</v>
      </c>
      <c r="J4" s="4" t="n">
        <v>0</v>
      </c>
      <c r="K4" s="4" t="n">
        <v>0.005</v>
      </c>
      <c r="L4" s="4" t="n">
        <v>0.08699999999999999</v>
      </c>
    </row>
    <row r="5">
      <c r="A5" t="n">
        <v>2024</v>
      </c>
      <c r="B5" t="inlineStr">
        <is>
          <t>Medicaid (Title XIX), Title XXI-funded Medicaid Expansion CHIP</t>
        </is>
      </c>
      <c r="C5" t="inlineStr">
        <is>
          <t>Administrative</t>
        </is>
      </c>
      <c r="D5" t="inlineStr">
        <is>
          <t>Percentage Screened for Depression and, if Positive, Provided a Follow-Up Plan: Ages 12 to 17</t>
        </is>
      </c>
      <c r="E5" t="inlineStr">
        <is>
          <t>Mathematica analysis of the Quality Measure Reporting (QMR) system reports for the 2024 Core Set as of April 28, 2025.</t>
        </is>
      </c>
      <c r="F5"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G5" t="inlineStr">
        <is>
          <t>Reported by state (CMS is not reporting state performance for this measure)</t>
        </is>
      </c>
      <c r="H5" s="4" t="n">
        <v>0.02</v>
      </c>
      <c r="I5" s="4" t="n">
        <v>0.465</v>
      </c>
      <c r="J5" s="4" t="n">
        <v>0</v>
      </c>
      <c r="K5" s="4" t="n">
        <v>0.005</v>
      </c>
      <c r="L5" s="4" t="n">
        <v>0.08699999999999999</v>
      </c>
    </row>
    <row r="6">
      <c r="A6" t="n">
        <v>2024</v>
      </c>
      <c r="B6" t="inlineStr">
        <is>
          <t>Separate CHIP (Title XXI)</t>
        </is>
      </c>
      <c r="C6" t="inlineStr">
        <is>
          <t>Administrative</t>
        </is>
      </c>
      <c r="D6" t="inlineStr">
        <is>
          <t>Percentage Screened for Depression and, if Positive, Provided a Follow-Up Plan: Ages 12 to 17</t>
        </is>
      </c>
      <c r="E6" t="inlineStr">
        <is>
          <t>Mathematica analysis of the Quality Measure Reporting (QMR) system reports for the 2024 Core Set as of April 28, 2025.</t>
        </is>
      </c>
      <c r="F6" t="inlineStr">
        <is>
          <t>State-specific comments: Separate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G6" t="inlineStr">
        <is>
          <t>Reported by state (CMS is not reporting state performance for this measure)</t>
        </is>
      </c>
      <c r="H6" s="4" t="n">
        <v>0.02</v>
      </c>
      <c r="I6" s="4" t="n">
        <v>0.465</v>
      </c>
      <c r="J6" s="4" t="n">
        <v>0</v>
      </c>
      <c r="K6" s="4" t="n">
        <v>0.005</v>
      </c>
      <c r="L6" s="4" t="n">
        <v>0.08699999999999999</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60" customWidth="1" min="5" max="5"/>
    <col width="60" customWidth="1" min="6" max="6"/>
    <col width="60" customWidth="1" min="7" max="7"/>
    <col width="8" customWidth="1" min="8" max="8"/>
    <col width="9" customWidth="1" min="9" max="9"/>
    <col width="9" customWidth="1" min="10" max="10"/>
    <col width="16" customWidth="1" min="11" max="11"/>
    <col width="16" customWidth="1" min="12" max="12"/>
  </cols>
  <sheetData>
    <row r="1">
      <c r="A1" t="inlineStr">
        <is>
          <t>Measure Name</t>
        </is>
      </c>
      <c r="B1" t="inlineStr">
        <is>
          <t>Screening for Depression and Follow-Up Plan: Age 18 and Older (CDF-AD)</t>
        </is>
      </c>
    </row>
    <row r="2"/>
    <row r="3">
      <c r="A3" s="1" t="inlineStr">
        <is>
          <t>Data Period</t>
        </is>
      </c>
      <c r="B3" s="1" t="inlineStr">
        <is>
          <t>Population</t>
        </is>
      </c>
      <c r="C3" s="1" t="inlineStr">
        <is>
          <t>Methodology</t>
        </is>
      </c>
      <c r="D3" s="1" t="inlineStr">
        <is>
          <t>Value Type</t>
        </is>
      </c>
      <c r="E3" s="1" t="inlineStr">
        <is>
          <t>Analysis Source</t>
        </is>
      </c>
      <c r="F3" s="1" t="inlineStr">
        <is>
          <t>Notes</t>
        </is>
      </c>
      <c r="G3" s="1" t="inlineStr">
        <is>
          <t>Value</t>
        </is>
      </c>
      <c r="H3" s="1" t="inlineStr">
        <is>
          <t>Median</t>
        </is>
      </c>
      <c r="I3" s="1" t="inlineStr">
        <is>
          <t>Maximum</t>
        </is>
      </c>
      <c r="J3" s="1" t="inlineStr">
        <is>
          <t>Minimum</t>
        </is>
      </c>
      <c r="K3" s="1" t="inlineStr">
        <is>
          <t>First quartile</t>
        </is>
      </c>
      <c r="L3" s="1" t="inlineStr">
        <is>
          <t>Third quartile</t>
        </is>
      </c>
    </row>
    <row r="4">
      <c r="A4" t="n">
        <v>2024</v>
      </c>
      <c r="B4" t="inlineStr">
        <is>
          <t>Medicaid (Title XIX), Title XXI-funded Medicaid Expansion CHIP, Separate CHIP (Title XXI)</t>
        </is>
      </c>
      <c r="C4" t="inlineStr">
        <is>
          <t>Administrative</t>
        </is>
      </c>
      <c r="D4" t="inlineStr">
        <is>
          <t>Percentage Screened for Depression and, if Positive, Provided a Follow-Up Plan: Ages 18 to 64</t>
        </is>
      </c>
      <c r="E4" t="inlineStr">
        <is>
          <t>Mathematica analysis of the Quality Measure Reporting (QMR) system reports for the 2024 Core Set as of April 28, 2025.</t>
        </is>
      </c>
      <c r="F4" t="inlineStr">
        <is>
          <t>State-specific comments: Rate combines the Medicaid and separate CHIP data reported by the state in the QMR system. See Medicaid and separate CHIP state-specific comments for information about the data reported for each population.</t>
        </is>
      </c>
      <c r="G4" t="inlineStr">
        <is>
          <t>Reported by state (CMS is not reporting state performance for this measure)</t>
        </is>
      </c>
      <c r="H4" s="4" t="n">
        <v>0.02</v>
      </c>
      <c r="I4" s="4" t="n">
        <v>0.339</v>
      </c>
      <c r="J4" s="4" t="n">
        <v>0</v>
      </c>
      <c r="K4" s="4" t="n">
        <v>0.004</v>
      </c>
      <c r="L4" s="4" t="n">
        <v>0.051</v>
      </c>
    </row>
    <row r="5">
      <c r="A5" t="n">
        <v>2024</v>
      </c>
      <c r="B5" t="inlineStr">
        <is>
          <t>Medicaid (Title XIX), Title XXI-funded Medicaid Expansion CHIP</t>
        </is>
      </c>
      <c r="C5" t="inlineStr">
        <is>
          <t>Administrative</t>
        </is>
      </c>
      <c r="D5" t="inlineStr">
        <is>
          <t>Percentage Screened for Depression and, if Positive, Provided a Follow-Up Plan: Ages 18 to 64</t>
        </is>
      </c>
      <c r="E5" t="inlineStr">
        <is>
          <t>Mathematica analysis of the Quality Measure Reporting (QMR) system reports for the 2024 Core Set as of April 28, 2025.</t>
        </is>
      </c>
      <c r="F5"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G5" t="inlineStr">
        <is>
          <t>Reported by state (CMS is not reporting state performance for this measure)</t>
        </is>
      </c>
      <c r="H5" s="4" t="n">
        <v>0.02</v>
      </c>
      <c r="I5" s="4" t="n">
        <v>0.339</v>
      </c>
      <c r="J5" s="4" t="n">
        <v>0</v>
      </c>
      <c r="K5" s="4" t="n">
        <v>0.004</v>
      </c>
      <c r="L5" s="4" t="n">
        <v>0.051</v>
      </c>
    </row>
    <row r="6">
      <c r="A6" t="n">
        <v>2024</v>
      </c>
      <c r="B6" t="inlineStr">
        <is>
          <t>Separate CHIP (Title XXI)</t>
        </is>
      </c>
      <c r="C6" t="inlineStr">
        <is>
          <t>Administrative</t>
        </is>
      </c>
      <c r="D6" t="inlineStr">
        <is>
          <t>Percentage Screened for Depression and, if Positive, Provided a Follow-Up Plan: Ages 18 to 64</t>
        </is>
      </c>
      <c r="E6" t="inlineStr">
        <is>
          <t>Mathematica analysis of the Quality Measure Reporting (QMR) system reports for the 2024 Core Set as of April 28, 2025.</t>
        </is>
      </c>
      <c r="F6" t="inlineStr">
        <is>
          <t>State-specific comments: Separate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G6" t="inlineStr">
        <is>
          <t>Reported by state (CMS is not reporting state performance for this measure)</t>
        </is>
      </c>
      <c r="H6" s="4" t="n">
        <v>0.02</v>
      </c>
      <c r="I6" s="4" t="n">
        <v>0.339</v>
      </c>
      <c r="J6" s="4" t="n">
        <v>0</v>
      </c>
      <c r="K6" s="4" t="n">
        <v>0.004</v>
      </c>
      <c r="L6" s="4" t="n">
        <v>0.051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27"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Sealant Receipt on Permanent First Molars: Age 10 (SFM-CH)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All Four Molars Sealed</t>
        </is>
      </c>
      <c r="B4" t="n">
        <v>2021</v>
      </c>
      <c r="C4" t="inlineStr">
        <is>
          <t>Medicaid only</t>
        </is>
      </c>
      <c r="D4" t="inlineStr">
        <is>
          <t>Administrative</t>
        </is>
      </c>
      <c r="E4" t="inlineStr">
        <is>
          <t>Percentage who Received Sealants on All Four Permanent First Molars by their 10th Birthday</t>
        </is>
      </c>
      <c r="F4" t="inlineStr">
        <is>
          <t>Higher values are better</t>
        </is>
      </c>
      <c r="G4" t="inlineStr">
        <is>
          <t>Mathematica analysis of the Quality Measure Reporting (QMR) system reports for the FFY 2021 reporting cycle as of June 1, 2023.</t>
        </is>
      </c>
      <c r="H4" t="inlineStr">
        <is>
          <t>State-specific comments: Medicaid rates include managed care population (3 MCOs). The state described the "other" data sources used to calculate the measure as the following: "Dental encounters and enrollment data." Rates were audited or validated.</t>
        </is>
      </c>
      <c r="I4" s="4" t="n">
        <v>0.466</v>
      </c>
      <c r="J4" s="4" t="n">
        <v>0.357</v>
      </c>
      <c r="K4" s="4" t="n">
        <v>0.663</v>
      </c>
      <c r="L4" s="4" t="n">
        <v>0.03</v>
      </c>
      <c r="M4" s="4" t="n">
        <v>0.218</v>
      </c>
      <c r="N4" s="4" t="n">
        <v>0.43</v>
      </c>
    </row>
    <row r="5">
      <c r="A5" t="inlineStr">
        <is>
          <t>All Four Molars Sealed</t>
        </is>
      </c>
      <c r="B5" t="n">
        <v>2021</v>
      </c>
      <c r="C5" t="inlineStr">
        <is>
          <t>CHIP only</t>
        </is>
      </c>
      <c r="D5" t="inlineStr">
        <is>
          <t>Administrative</t>
        </is>
      </c>
      <c r="E5" t="inlineStr">
        <is>
          <t>Percentage who Received Sealants on All Four Permanent First Molars by their 10th Birthday</t>
        </is>
      </c>
      <c r="F5" t="inlineStr">
        <is>
          <t>Higher values are better</t>
        </is>
      </c>
      <c r="G5" t="inlineStr">
        <is>
          <t>Mathematica analysis of the Quality Measure Reporting (QMR) system reports for the FFY 2021 reporting cycle as of June 1, 2023.</t>
        </is>
      </c>
      <c r="H5" t="inlineStr">
        <is>
          <t>State-specific comments: CHIP rates include managed care population (3 MCOs). The state described the "other" data sources used to calculate the measure as the following: "Dental encounters and enrollment data." Rates were audited or validated.</t>
        </is>
      </c>
      <c r="I5" s="4" t="n">
        <v>0.478</v>
      </c>
      <c r="J5" s="4" t="n">
        <v>0.357</v>
      </c>
      <c r="K5" s="4" t="n">
        <v>0.663</v>
      </c>
      <c r="L5" s="4" t="n">
        <v>0.03</v>
      </c>
      <c r="M5" s="4" t="n">
        <v>0.218</v>
      </c>
      <c r="N5" s="4" t="n">
        <v>0.43</v>
      </c>
    </row>
    <row r="6">
      <c r="A6" t="inlineStr">
        <is>
          <t>All Four Molars Sealed</t>
        </is>
      </c>
      <c r="B6" t="n">
        <v>2022</v>
      </c>
      <c r="C6" t="inlineStr">
        <is>
          <t>Medicaid only</t>
        </is>
      </c>
      <c r="D6" t="inlineStr">
        <is>
          <t>Administrative</t>
        </is>
      </c>
      <c r="E6" t="inlineStr">
        <is>
          <t>Percentage who Received Sealants on All Four Permanent First Molars by their 10th Birthday</t>
        </is>
      </c>
      <c r="F6" t="inlineStr">
        <is>
          <t>Higher values are better</t>
        </is>
      </c>
      <c r="G6" t="inlineStr">
        <is>
          <t>Mathematica analysis of the Quality Measure Reporting (QMR) system reports for the FFY 2022 reporting cycle as of June 1, 2023.</t>
        </is>
      </c>
      <c r="H6" t="inlineStr">
        <is>
          <t>State-specific comments: Medicaid rates include managed care population (3 MCOs). The state described the "other" data sources used to calculate the measure as the following: "Dental encounter data and dental enrollment." Rates were audited or validated.</t>
        </is>
      </c>
      <c r="I6" s="4" t="n">
        <v>0.434</v>
      </c>
      <c r="J6" s="4" t="n">
        <v>0.329</v>
      </c>
      <c r="K6" s="4" t="n">
        <v>0.624</v>
      </c>
      <c r="L6" s="4" t="n">
        <v>0.035</v>
      </c>
      <c r="M6" s="4" t="n">
        <v>0.236</v>
      </c>
      <c r="N6" s="4" t="n">
        <v>0.4</v>
      </c>
    </row>
    <row r="7">
      <c r="A7" t="inlineStr">
        <is>
          <t>All Four Molars Sealed</t>
        </is>
      </c>
      <c r="B7" t="n">
        <v>2022</v>
      </c>
      <c r="C7" t="inlineStr">
        <is>
          <t>CHIP only</t>
        </is>
      </c>
      <c r="D7" t="inlineStr">
        <is>
          <t>Administrative</t>
        </is>
      </c>
      <c r="E7" t="inlineStr">
        <is>
          <t>Percentage who Received Sealants on All Four Permanent First Molars by their 10th Birthday</t>
        </is>
      </c>
      <c r="F7" t="inlineStr">
        <is>
          <t>Higher values are better</t>
        </is>
      </c>
      <c r="G7" t="inlineStr">
        <is>
          <t>Mathematica analysis of the Quality Measure Reporting (QMR) system reports for the FFY 2022 reporting cycle as of June 1, 2023.</t>
        </is>
      </c>
      <c r="H7" t="inlineStr">
        <is>
          <t>State-specific comments: CHIP rates include managed care population (3 MCOs). The state described the "other" data sources used to calculate the measure as the following: "Dental encounter data and dental enrollment." Rates were audited or validated.</t>
        </is>
      </c>
      <c r="I7" s="4" t="n">
        <v>0.448</v>
      </c>
      <c r="J7" s="4" t="n">
        <v>0.329</v>
      </c>
      <c r="K7" s="4" t="n">
        <v>0.624</v>
      </c>
      <c r="L7" s="4" t="n">
        <v>0.035</v>
      </c>
      <c r="M7" s="4" t="n">
        <v>0.236</v>
      </c>
      <c r="N7" s="4" t="n">
        <v>0.4</v>
      </c>
    </row>
    <row r="8">
      <c r="A8" t="inlineStr">
        <is>
          <t>All Four Molars Sealed</t>
        </is>
      </c>
      <c r="B8" t="n">
        <v>2023</v>
      </c>
      <c r="C8" t="inlineStr">
        <is>
          <t>Medicaid only</t>
        </is>
      </c>
      <c r="D8" t="inlineStr">
        <is>
          <t>Administrative</t>
        </is>
      </c>
      <c r="E8" t="inlineStr">
        <is>
          <t>Percentage who Received Sealants on All Four Permanent First Molars by their 10th Birthday</t>
        </is>
      </c>
      <c r="F8" t="inlineStr">
        <is>
          <t>Higher values are better</t>
        </is>
      </c>
      <c r="G8" t="inlineStr">
        <is>
          <t>Mathematica analysis of the Quality Measure Reporting (QMR) system reports for the 2023 Core Set as of May 16, 2024.</t>
        </is>
      </c>
      <c r="H8" t="inlineStr">
        <is>
          <t>State-specific comments: Medicaid rates include managed care population (3 MCOs). The state described the "other" data sources used to calculate the measure as the following: "Dental encounter and enrollment data." Rates were audited or validated.</t>
        </is>
      </c>
      <c r="I8" s="4" t="n">
        <v>0.422</v>
      </c>
      <c r="J8" s="4" t="n">
        <v>0.354</v>
      </c>
      <c r="K8" s="4" t="n">
        <v>0.608</v>
      </c>
      <c r="L8" s="4" t="n">
        <v>0.003</v>
      </c>
      <c r="M8" s="4" t="n">
        <v>0.296</v>
      </c>
      <c r="N8" s="4" t="n">
        <v>0.422</v>
      </c>
    </row>
    <row r="9">
      <c r="A9" t="inlineStr">
        <is>
          <t>All Four Molars Sealed</t>
        </is>
      </c>
      <c r="B9" t="n">
        <v>2023</v>
      </c>
      <c r="C9" t="inlineStr">
        <is>
          <t>CHIP only</t>
        </is>
      </c>
      <c r="D9" t="inlineStr">
        <is>
          <t>Administrative</t>
        </is>
      </c>
      <c r="E9" t="inlineStr">
        <is>
          <t>Percentage who Received Sealants on All Four Permanent First Molars by their 10th Birthday</t>
        </is>
      </c>
      <c r="F9" t="inlineStr">
        <is>
          <t>Higher values are better</t>
        </is>
      </c>
      <c r="G9" t="inlineStr">
        <is>
          <t>Mathematica analysis of the Quality Measure Reporting (QMR) system reports for the 2023 Core Set as of May 16, 2024.</t>
        </is>
      </c>
      <c r="H9" t="inlineStr">
        <is>
          <t>State-specific comments: CHIP rates include managed care population (3 MCOs). The state described the "other" data sources used to calculate the measure as the following: "Dental encounter and enrollment data." Rates were audited or validated.</t>
        </is>
      </c>
      <c r="I9" s="4" t="n">
        <v>0.469</v>
      </c>
      <c r="J9" s="4" t="n">
        <v>0.354</v>
      </c>
      <c r="K9" s="4" t="n">
        <v>0.608</v>
      </c>
      <c r="L9" s="4" t="n">
        <v>0.003</v>
      </c>
      <c r="M9" s="4" t="n">
        <v>0.296</v>
      </c>
      <c r="N9" s="4" t="n">
        <v>0.422</v>
      </c>
    </row>
    <row r="10">
      <c r="A10" t="inlineStr">
        <is>
          <t>All Four Molars Sealed</t>
        </is>
      </c>
      <c r="B10" t="n">
        <v>2024</v>
      </c>
      <c r="C10" t="inlineStr">
        <is>
          <t>Medicaid (Title XIX), Title XXI-funded Medicaid Expansion CHIP, Separate CHIP (Title XXI)</t>
        </is>
      </c>
      <c r="D10" t="inlineStr">
        <is>
          <t>Administrative</t>
        </is>
      </c>
      <c r="E10" t="inlineStr">
        <is>
          <t>Percentage who Received Sealants on All Four Permanent First Molars by their 10th Birthday</t>
        </is>
      </c>
      <c r="F10" t="inlineStr">
        <is>
          <t>Higher values are better</t>
        </is>
      </c>
      <c r="G10" t="inlineStr">
        <is>
          <t>Mathematica analysis of the Quality Measure Reporting (QMR) system reports for the 2024 Core Set as of April 28, 2025.</t>
        </is>
      </c>
      <c r="H10" t="inlineStr">
        <is>
          <t>State-specific comments: Rate combines the Medicaid and separate CHIP data reported by the state in the QMR system. See Medicaid and separate CHIP state-specific comments for information about the data reported for each population.</t>
        </is>
      </c>
      <c r="I10" s="4" t="n">
        <v>0.427</v>
      </c>
      <c r="J10" s="4" t="n">
        <v>0.345</v>
      </c>
      <c r="K10" s="4" t="n">
        <v>0.592</v>
      </c>
      <c r="L10" s="4" t="n">
        <v>0.022</v>
      </c>
      <c r="M10" s="4" t="n">
        <v>0.269</v>
      </c>
      <c r="N10" s="4" t="n">
        <v>0.405</v>
      </c>
    </row>
    <row r="11">
      <c r="A11" t="inlineStr">
        <is>
          <t>All Four Molars Sealed</t>
        </is>
      </c>
      <c r="B11" t="n">
        <v>2024</v>
      </c>
      <c r="C11" t="inlineStr">
        <is>
          <t>Medicaid (Title XIX), Title XXI-funded Medicaid Expansion CHIP</t>
        </is>
      </c>
      <c r="D11" t="inlineStr">
        <is>
          <t>Administrative</t>
        </is>
      </c>
      <c r="E11" t="inlineStr">
        <is>
          <t>Percentage who Received Sealants on All Four Permanent First Molars by their 10th Birthday</t>
        </is>
      </c>
      <c r="F11" t="inlineStr">
        <is>
          <t>Higher values are better</t>
        </is>
      </c>
      <c r="G11" t="inlineStr">
        <is>
          <t>Mathematica analysis of the Quality Measure Reporting (QMR) system reports for the 2024 Core Set as of April 28, 2025.</t>
        </is>
      </c>
      <c r="H11" t="inlineStr">
        <is>
          <t>State-specific comments: Medicaid rates include managed care population (3 MCOs). The state described the "other" data sources used to calculate the measure as the following: "Dental encounter and enrollment data." Rates were audited or validated.</t>
        </is>
      </c>
      <c r="I11" s="4" t="n">
        <v>0.428</v>
      </c>
      <c r="J11" s="4" t="n">
        <v>0.345</v>
      </c>
      <c r="K11" s="4" t="n">
        <v>0.592</v>
      </c>
      <c r="L11" s="4" t="n">
        <v>0.022</v>
      </c>
      <c r="M11" s="4" t="n">
        <v>0.269</v>
      </c>
      <c r="N11" s="4" t="n">
        <v>0.405</v>
      </c>
    </row>
    <row r="12">
      <c r="A12" t="inlineStr">
        <is>
          <t>All Four Molars Sealed</t>
        </is>
      </c>
      <c r="B12" t="n">
        <v>2024</v>
      </c>
      <c r="C12" t="inlineStr">
        <is>
          <t>Separate CHIP (Title XXI)</t>
        </is>
      </c>
      <c r="D12" t="inlineStr">
        <is>
          <t>Administrative</t>
        </is>
      </c>
      <c r="E12" t="inlineStr">
        <is>
          <t>Percentage who Received Sealants on All Four Permanent First Molars by their 10th Birthday</t>
        </is>
      </c>
      <c r="F12" t="inlineStr">
        <is>
          <t>Higher values are better</t>
        </is>
      </c>
      <c r="G12" t="inlineStr">
        <is>
          <t>Mathematica analysis of the Quality Measure Reporting (QMR) system reports for the 2024 Core Set as of April 28, 2025.</t>
        </is>
      </c>
      <c r="H12" t="inlineStr">
        <is>
          <t>State-specific comments: Separate CHIP rates include managed care population (3 MCOs). The state described the "other" data sources used to calculate the measure as the following: "Dental encounter and enrollment data." Rates were audited or validated.</t>
        </is>
      </c>
      <c r="I12" s="4" t="n">
        <v>0.42</v>
      </c>
      <c r="J12" s="4" t="n">
        <v>0.345</v>
      </c>
      <c r="K12" s="4" t="n">
        <v>0.592</v>
      </c>
      <c r="L12" s="4" t="n">
        <v>0.022</v>
      </c>
      <c r="M12" s="4" t="n">
        <v>0.269</v>
      </c>
      <c r="N12" s="4" t="n">
        <v>0.405</v>
      </c>
    </row>
    <row r="13">
      <c r="A13" t="inlineStr">
        <is>
          <t>At Least One Molar Sealed</t>
        </is>
      </c>
      <c r="B13" t="n">
        <v>2021</v>
      </c>
      <c r="C13" t="inlineStr">
        <is>
          <t>Medicaid only</t>
        </is>
      </c>
      <c r="D13" t="inlineStr">
        <is>
          <t>Administrative</t>
        </is>
      </c>
      <c r="E13" t="inlineStr">
        <is>
          <t>Percentage who Received a Sealant on at Least One Permanent First Molar Tooth by their 10th Birthday</t>
        </is>
      </c>
      <c r="F13" t="inlineStr">
        <is>
          <t>Higher values are better</t>
        </is>
      </c>
      <c r="G13" t="inlineStr">
        <is>
          <t>Mathematica analysis of the Quality Measure Reporting (QMR) system reports for the FFY 2021 reporting cycle as of June 1, 2023.</t>
        </is>
      </c>
      <c r="H13" t="inlineStr">
        <is>
          <t>State-specific comments: Medicaid rates include managed care population (3 MCOs). The state described the "other" data sources used to calculate the measure as the following: "Dental encounters and enrollment data." Rates were audited or validated.</t>
        </is>
      </c>
      <c r="I13" s="4" t="n">
        <v>0.705</v>
      </c>
      <c r="J13" s="4" t="n">
        <v>0.492</v>
      </c>
      <c r="K13" s="4" t="n">
        <v>0.756</v>
      </c>
      <c r="L13" s="4" t="n">
        <v>0.06900000000000001</v>
      </c>
      <c r="M13" s="4" t="n">
        <v>0.324</v>
      </c>
      <c r="N13" s="4" t="n">
        <v>0.607</v>
      </c>
    </row>
    <row r="14">
      <c r="A14" t="inlineStr">
        <is>
          <t>At Least One Molar Sealed</t>
        </is>
      </c>
      <c r="B14" t="n">
        <v>2021</v>
      </c>
      <c r="C14" t="inlineStr">
        <is>
          <t>CHIP only</t>
        </is>
      </c>
      <c r="D14" t="inlineStr">
        <is>
          <t>Administrative</t>
        </is>
      </c>
      <c r="E14" t="inlineStr">
        <is>
          <t>Percentage who Received a Sealant on at Least One Permanent First Molar Tooth by their 10th Birthday</t>
        </is>
      </c>
      <c r="F14" t="inlineStr">
        <is>
          <t>Higher values are better</t>
        </is>
      </c>
      <c r="G14" t="inlineStr">
        <is>
          <t>Mathematica analysis of the Quality Measure Reporting (QMR) system reports for the FFY 2021 reporting cycle as of June 1, 2023.</t>
        </is>
      </c>
      <c r="H14" t="inlineStr">
        <is>
          <t>State-specific comments: CHIP rates include managed care population (3 MCOs). The state described the "other" data sources used to calculate the measure as the following: "Dental encounters and enrollment data." Rates were audited or validated.</t>
        </is>
      </c>
      <c r="I14" s="4" t="n">
        <v>0.697</v>
      </c>
      <c r="J14" s="4" t="n">
        <v>0.492</v>
      </c>
      <c r="K14" s="4" t="n">
        <v>0.756</v>
      </c>
      <c r="L14" s="4" t="n">
        <v>0.06900000000000001</v>
      </c>
      <c r="M14" s="4" t="n">
        <v>0.324</v>
      </c>
      <c r="N14" s="4" t="n">
        <v>0.607</v>
      </c>
    </row>
    <row r="15">
      <c r="A15" t="inlineStr">
        <is>
          <t>At Least One Molar Sealed</t>
        </is>
      </c>
      <c r="B15" t="n">
        <v>2022</v>
      </c>
      <c r="C15" t="inlineStr">
        <is>
          <t>Medicaid only</t>
        </is>
      </c>
      <c r="D15" t="inlineStr">
        <is>
          <t>Administrative</t>
        </is>
      </c>
      <c r="E15" t="inlineStr">
        <is>
          <t>Percentage who Received a Sealant on at Least One Permanent First Molar Tooth by their 10th Birthday</t>
        </is>
      </c>
      <c r="F15" t="inlineStr">
        <is>
          <t>Higher values are better</t>
        </is>
      </c>
      <c r="G15" t="inlineStr">
        <is>
          <t>Mathematica analysis of the Quality Measure Reporting (QMR) system reports for the FFY 2022 reporting cycle as of June 1, 2023.</t>
        </is>
      </c>
      <c r="H15" t="inlineStr">
        <is>
          <t>State-specific comments: Medicaid rates include managed care population (3 MCOs). The state described the "other" data sources used to calculate the measure as the following: "Dental encounter data and dental enrollment." Rates were audited or validated.</t>
        </is>
      </c>
      <c r="I15" s="4" t="n">
        <v>0.665</v>
      </c>
      <c r="J15" s="4" t="n">
        <v>0.464</v>
      </c>
      <c r="K15" s="4" t="n">
        <v>0.715</v>
      </c>
      <c r="L15" s="4" t="n">
        <v>0.076</v>
      </c>
      <c r="M15" s="4" t="n">
        <v>0.384</v>
      </c>
      <c r="N15" s="4" t="n">
        <v>0.573</v>
      </c>
    </row>
    <row r="16">
      <c r="A16" t="inlineStr">
        <is>
          <t>At Least One Molar Sealed</t>
        </is>
      </c>
      <c r="B16" t="n">
        <v>2022</v>
      </c>
      <c r="C16" t="inlineStr">
        <is>
          <t>CHIP only</t>
        </is>
      </c>
      <c r="D16" t="inlineStr">
        <is>
          <t>Administrative</t>
        </is>
      </c>
      <c r="E16" t="inlineStr">
        <is>
          <t>Percentage who Received a Sealant on at Least One Permanent First Molar Tooth by their 10th Birthday</t>
        </is>
      </c>
      <c r="F16" t="inlineStr">
        <is>
          <t>Higher values are better</t>
        </is>
      </c>
      <c r="G16" t="inlineStr">
        <is>
          <t>Mathematica analysis of the Quality Measure Reporting (QMR) system reports for the FFY 2022 reporting cycle as of June 1, 2023.</t>
        </is>
      </c>
      <c r="H16" t="inlineStr">
        <is>
          <t>State-specific comments: CHIP rates include managed care population (3 MCOs). The state described the "other" data sources used to calculate the measure as the following: "Dental encounter data and dental enrollment." Rates were audited or validated.</t>
        </is>
      </c>
      <c r="I16" s="4" t="n">
        <v>0.655</v>
      </c>
      <c r="J16" s="4" t="n">
        <v>0.464</v>
      </c>
      <c r="K16" s="4" t="n">
        <v>0.715</v>
      </c>
      <c r="L16" s="4" t="n">
        <v>0.076</v>
      </c>
      <c r="M16" s="4" t="n">
        <v>0.384</v>
      </c>
      <c r="N16" s="4" t="n">
        <v>0.573</v>
      </c>
    </row>
    <row r="17">
      <c r="A17" t="inlineStr">
        <is>
          <t>At Least One Molar Sealed</t>
        </is>
      </c>
      <c r="B17" t="n">
        <v>2023</v>
      </c>
      <c r="C17" t="inlineStr">
        <is>
          <t>Medicaid only</t>
        </is>
      </c>
      <c r="D17" t="inlineStr">
        <is>
          <t>Administrative</t>
        </is>
      </c>
      <c r="E17" t="inlineStr">
        <is>
          <t>Percentage who Received a Sealant on at Least One Permanent First Molar Tooth by their 10th Birthday</t>
        </is>
      </c>
      <c r="F17" t="inlineStr">
        <is>
          <t>Higher values are better</t>
        </is>
      </c>
      <c r="G17" t="inlineStr">
        <is>
          <t>Mathematica analysis of the Quality Measure Reporting (QMR) system reports for the 2023 Core Set as of May 16, 2024.</t>
        </is>
      </c>
      <c r="H17" t="inlineStr">
        <is>
          <t>State-specific comments: Medicaid rates include managed care population (3 MCOs). The state described the "other" data sources used to calculate the measure as the following: "Dental encounter and enrollment data." Rates were audited or validated.</t>
        </is>
      </c>
      <c r="I17" s="4" t="n">
        <v>0.647</v>
      </c>
      <c r="J17" s="4" t="n">
        <v>0.483</v>
      </c>
      <c r="K17" s="4" t="n">
        <v>0.695</v>
      </c>
      <c r="L17" s="4" t="n">
        <v>0.025</v>
      </c>
      <c r="M17" s="4" t="n">
        <v>0.398</v>
      </c>
      <c r="N17" s="4" t="n">
        <v>0.571</v>
      </c>
    </row>
    <row r="18">
      <c r="A18" t="inlineStr">
        <is>
          <t>At Least One Molar Sealed</t>
        </is>
      </c>
      <c r="B18" t="n">
        <v>2023</v>
      </c>
      <c r="C18" t="inlineStr">
        <is>
          <t>CHIP only</t>
        </is>
      </c>
      <c r="D18" t="inlineStr">
        <is>
          <t>Administrative</t>
        </is>
      </c>
      <c r="E18" t="inlineStr">
        <is>
          <t>Percentage who Received a Sealant on at Least One Permanent First Molar Tooth by their 10th Birthday</t>
        </is>
      </c>
      <c r="F18" t="inlineStr">
        <is>
          <t>Higher values are better</t>
        </is>
      </c>
      <c r="G18" t="inlineStr">
        <is>
          <t>Mathematica analysis of the Quality Measure Reporting (QMR) system reports for the 2023 Core Set as of May 16, 2024.</t>
        </is>
      </c>
      <c r="H18" t="inlineStr">
        <is>
          <t>State-specific comments: CHIP rates include managed care population (3 MCOs). The state described the "other" data sources used to calculate the measure as the following: "Dental encounter and enrollment data." Rates were audited or validated.</t>
        </is>
      </c>
      <c r="I18" s="4" t="n">
        <v>0.668</v>
      </c>
      <c r="J18" s="4" t="n">
        <v>0.483</v>
      </c>
      <c r="K18" s="4" t="n">
        <v>0.695</v>
      </c>
      <c r="L18" s="4" t="n">
        <v>0.025</v>
      </c>
      <c r="M18" s="4" t="n">
        <v>0.398</v>
      </c>
      <c r="N18" s="4" t="n">
        <v>0.571</v>
      </c>
    </row>
    <row r="19">
      <c r="A19" t="inlineStr">
        <is>
          <t>At Least One Molar Sealed</t>
        </is>
      </c>
      <c r="B19" t="n">
        <v>2024</v>
      </c>
      <c r="C19" t="inlineStr">
        <is>
          <t>Medicaid (Title XIX), Title XXI-funded Medicaid Expansion CHIP, Separate CHIP (Title XXI)</t>
        </is>
      </c>
      <c r="D19" t="inlineStr">
        <is>
          <t>Administrative</t>
        </is>
      </c>
      <c r="E19" t="inlineStr">
        <is>
          <t>Percentage who Received a Sealant on at Least One Permanent First Molar Tooth by their 10th Birthday</t>
        </is>
      </c>
      <c r="F19" t="inlineStr">
        <is>
          <t>Higher values are better</t>
        </is>
      </c>
      <c r="G19" t="inlineStr">
        <is>
          <t>Mathematica analysis of the Quality Measure Reporting (QMR) system reports for the 2024 Core Set as of April 28, 2025.</t>
        </is>
      </c>
      <c r="H19" t="inlineStr">
        <is>
          <t>State-specific comments: Rate combines the Medicaid and separate CHIP data reported by the state in the QMR system. See Medicaid and separate CHIP state-specific comments for information about the data reported for each population.</t>
        </is>
      </c>
      <c r="I19" s="4" t="n">
        <v>0.649</v>
      </c>
      <c r="J19" s="4" t="n">
        <v>0.503</v>
      </c>
      <c r="K19" s="4" t="n">
        <v>0.664</v>
      </c>
      <c r="L19" s="4" t="n">
        <v>0.05</v>
      </c>
      <c r="M19" s="4" t="n">
        <v>0.397</v>
      </c>
      <c r="N19" s="4" t="n">
        <v>0.5679999999999999</v>
      </c>
    </row>
    <row r="20">
      <c r="A20" t="inlineStr">
        <is>
          <t>At Least One Molar Sealed</t>
        </is>
      </c>
      <c r="B20" t="n">
        <v>2024</v>
      </c>
      <c r="C20" t="inlineStr">
        <is>
          <t>Medicaid (Title XIX), Title XXI-funded Medicaid Expansion CHIP</t>
        </is>
      </c>
      <c r="D20" t="inlineStr">
        <is>
          <t>Administrative</t>
        </is>
      </c>
      <c r="E20" t="inlineStr">
        <is>
          <t>Percentage who Received a Sealant on at Least One Permanent First Molar Tooth by their 10th Birthday</t>
        </is>
      </c>
      <c r="F20" t="inlineStr">
        <is>
          <t>Higher values are better</t>
        </is>
      </c>
      <c r="G20" t="inlineStr">
        <is>
          <t>Mathematica analysis of the Quality Measure Reporting (QMR) system reports for the 2024 Core Set as of April 28, 2025.</t>
        </is>
      </c>
      <c r="H20" t="inlineStr">
        <is>
          <t>State-specific comments: Medicaid rates include managed care population (3 MCOs). The state described the "other" data sources used to calculate the measure as the following: "Dental encounter and enrollment data." Rates were audited or validated.</t>
        </is>
      </c>
      <c r="I20" s="4" t="n">
        <v>0.65</v>
      </c>
      <c r="J20" s="4" t="n">
        <v>0.503</v>
      </c>
      <c r="K20" s="4" t="n">
        <v>0.664</v>
      </c>
      <c r="L20" s="4" t="n">
        <v>0.05</v>
      </c>
      <c r="M20" s="4" t="n">
        <v>0.397</v>
      </c>
      <c r="N20" s="4" t="n">
        <v>0.5679999999999999</v>
      </c>
    </row>
    <row r="21">
      <c r="A21" t="inlineStr">
        <is>
          <t>At Least One Molar Sealed</t>
        </is>
      </c>
      <c r="B21" t="n">
        <v>2024</v>
      </c>
      <c r="C21" t="inlineStr">
        <is>
          <t>Separate CHIP (Title XXI)</t>
        </is>
      </c>
      <c r="D21" t="inlineStr">
        <is>
          <t>Administrative</t>
        </is>
      </c>
      <c r="E21" t="inlineStr">
        <is>
          <t>Percentage who Received a Sealant on at Least One Permanent First Molar Tooth by their 10th Birthday</t>
        </is>
      </c>
      <c r="F21" t="inlineStr">
        <is>
          <t>Higher values are better</t>
        </is>
      </c>
      <c r="G21" t="inlineStr">
        <is>
          <t>Mathematica analysis of the Quality Measure Reporting (QMR) system reports for the 2024 Core Set as of April 28, 2025.</t>
        </is>
      </c>
      <c r="H21" t="inlineStr">
        <is>
          <t>State-specific comments: Separate CHIP rates include managed care population (3 MCOs). The state described the "other" data sources used to calculate the measure as the following: "Dental encounter and enrollment data." Rates were audited or validated.</t>
        </is>
      </c>
      <c r="I21" s="4" t="n">
        <v>0.632</v>
      </c>
      <c r="J21" s="4" t="n">
        <v>0.503</v>
      </c>
      <c r="K21" s="4" t="n">
        <v>0.664</v>
      </c>
      <c r="L21" s="4" t="n">
        <v>0.05</v>
      </c>
      <c r="M21" s="4" t="n">
        <v>0.397</v>
      </c>
      <c r="N21" s="4" t="n">
        <v>0.5679999999999999</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Topical Fluoride for Children: Ages 1 through 20 (TFL-CH)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2022</v>
      </c>
      <c r="B4" t="inlineStr">
        <is>
          <t>Medicaid only</t>
        </is>
      </c>
      <c r="C4" t="inlineStr">
        <is>
          <t>Administrative</t>
        </is>
      </c>
      <c r="D4" t="inlineStr">
        <is>
          <t>Percentage of Enrolled Children who Received at Least Two Topical Fluoride Applications as Dental or Oral Health Services: Total (Ages 1 through 20)</t>
        </is>
      </c>
      <c r="E4" t="inlineStr">
        <is>
          <t>Higher values are better</t>
        </is>
      </c>
      <c r="F4" t="inlineStr">
        <is>
          <t>Mathematica analysis of the Quality Measure Reporting (QMR) system reports for the FFY 2022 reporting cycle as of June 1, 2023.</t>
        </is>
      </c>
      <c r="G4" t="inlineStr">
        <is>
          <t>State-specific comments: Medicaid rate includes managed care population (3 MCOs). The state described the "other" data sources used to calculate the measure as the following: "Dental encounter data and dental enrollment." Rate was audited or validated.</t>
        </is>
      </c>
      <c r="H4" s="4" t="n">
        <v>0.337</v>
      </c>
      <c r="I4" s="4" t="n">
        <v>0.193</v>
      </c>
      <c r="J4" s="4" t="n">
        <v>0.446</v>
      </c>
      <c r="K4" s="4" t="n">
        <v>0.105</v>
      </c>
      <c r="L4" s="4" t="n">
        <v>0.168</v>
      </c>
      <c r="M4" s="4" t="n">
        <v>0.233</v>
      </c>
    </row>
    <row r="5">
      <c r="A5" t="n">
        <v>2022</v>
      </c>
      <c r="B5" t="inlineStr">
        <is>
          <t>CHIP only</t>
        </is>
      </c>
      <c r="C5" t="inlineStr">
        <is>
          <t>Administrative</t>
        </is>
      </c>
      <c r="D5" t="inlineStr">
        <is>
          <t>Percentage of Enrolled Children who Received at Least Two Topical Fluoride Applications as Dental or Oral Health Services: Total (Ages 1 through 20)</t>
        </is>
      </c>
      <c r="E5" t="inlineStr">
        <is>
          <t>Higher values are better</t>
        </is>
      </c>
      <c r="F5" t="inlineStr">
        <is>
          <t>Mathematica analysis of the Quality Measure Reporting (QMR) system reports for the FFY 2022 reporting cycle as of June 1, 2023.</t>
        </is>
      </c>
      <c r="G5" t="inlineStr">
        <is>
          <t>State-specific comments: CHIP rate includes managed care population (3 MCOs). The state described the "other" data sources used to calculate the measure as the following: "Dental encounters and enrollment data." Rate was audited or validated.</t>
        </is>
      </c>
      <c r="H5" s="4" t="n">
        <v>0.315</v>
      </c>
      <c r="I5" s="4" t="n">
        <v>0.193</v>
      </c>
      <c r="J5" s="4" t="n">
        <v>0.446</v>
      </c>
      <c r="K5" s="4" t="n">
        <v>0.105</v>
      </c>
      <c r="L5" s="4" t="n">
        <v>0.168</v>
      </c>
      <c r="M5" s="4" t="n">
        <v>0.233</v>
      </c>
    </row>
    <row r="6">
      <c r="A6" t="n">
        <v>2023</v>
      </c>
      <c r="B6" t="inlineStr">
        <is>
          <t>Medicaid only</t>
        </is>
      </c>
      <c r="C6" t="inlineStr">
        <is>
          <t>Administrative</t>
        </is>
      </c>
      <c r="D6" t="inlineStr">
        <is>
          <t>Percentage of Enrolled Children who Received at Least Two Topical Fluoride Applications as Dental or Oral Health Services: Total (Ages 1 through 20)</t>
        </is>
      </c>
      <c r="E6" t="inlineStr">
        <is>
          <t>Higher values are better</t>
        </is>
      </c>
      <c r="F6" t="inlineStr">
        <is>
          <t>Mathematica analysis of the Quality Measure Reporting (QMR) system reports for the 2023 Core Set as of May 16, 2024.</t>
        </is>
      </c>
      <c r="G6" t="inlineStr">
        <is>
          <t>State-specific comments: Medicaid rate includes managed care population (3 MCOs). The state described the "other" data sources used to calculate the measure as the following: "Dental encounter and enrollment data." Rate was audited or validated.</t>
        </is>
      </c>
      <c r="H6" s="4" t="n">
        <v>0.333</v>
      </c>
      <c r="I6" s="4" t="n">
        <v>0.19</v>
      </c>
      <c r="J6" s="4" t="n">
        <v>0.468</v>
      </c>
      <c r="K6" s="4" t="n">
        <v>0.033</v>
      </c>
      <c r="L6" s="4" t="n">
        <v>0.167</v>
      </c>
      <c r="M6" s="4" t="n">
        <v>0.228</v>
      </c>
    </row>
    <row r="7">
      <c r="A7" t="n">
        <v>2023</v>
      </c>
      <c r="B7" t="inlineStr">
        <is>
          <t>CHIP only</t>
        </is>
      </c>
      <c r="C7" t="inlineStr">
        <is>
          <t>Administrative</t>
        </is>
      </c>
      <c r="D7" t="inlineStr">
        <is>
          <t>Percentage of Enrolled Children who Received at Least Two Topical Fluoride Applications as Dental or Oral Health Services: Total (Ages 1 through 20)</t>
        </is>
      </c>
      <c r="E7" t="inlineStr">
        <is>
          <t>Higher values are better</t>
        </is>
      </c>
      <c r="F7" t="inlineStr">
        <is>
          <t>Mathematica analysis of the Quality Measure Reporting (QMR) system reports for the 2023 Core Set as of May 16, 2024.</t>
        </is>
      </c>
      <c r="G7" t="inlineStr">
        <is>
          <t>State-specific comments: CHIP rate includes managed care population (3 MCOs). The state described the "other" data sources used to calculate the measure as the following: "Dental encounter and enrollment data." Rate was audited or validated.</t>
        </is>
      </c>
      <c r="H7" s="4" t="n">
        <v>0.362</v>
      </c>
      <c r="I7" s="4" t="n">
        <v>0.19</v>
      </c>
      <c r="J7" s="4" t="n">
        <v>0.468</v>
      </c>
      <c r="K7" s="4" t="n">
        <v>0.033</v>
      </c>
      <c r="L7" s="4" t="n">
        <v>0.167</v>
      </c>
      <c r="M7" s="4" t="n">
        <v>0.228</v>
      </c>
    </row>
    <row r="8">
      <c r="A8" t="n">
        <v>2024</v>
      </c>
      <c r="B8" t="inlineStr">
        <is>
          <t>Medicaid (Title XIX), Title XXI-funded Medicaid Expansion CHIP, Separate CHIP (Title XXI)</t>
        </is>
      </c>
      <c r="C8" t="inlineStr">
        <is>
          <t>Administrative</t>
        </is>
      </c>
      <c r="D8" t="inlineStr">
        <is>
          <t>Percentage of Enrolled Children who Received at Least Two Topical Fluoride Applications as Dental or Oral Health Services: Total (Ages 1 through 20)</t>
        </is>
      </c>
      <c r="E8" t="inlineStr">
        <is>
          <t>Higher values are better</t>
        </is>
      </c>
      <c r="F8" t="inlineStr">
        <is>
          <t>Mathematica analysis of the Quality Measure Reporting (QMR) system reports for the 2024 Core Set as of April 28, 2025.</t>
        </is>
      </c>
      <c r="G8" t="inlineStr">
        <is>
          <t>State-specific comments: Rate combines the Medicaid and separate CHIP data reported by the state in the QMR system. See Medicaid and separate CHIP state-specific comments for information about the data reported for each population.</t>
        </is>
      </c>
      <c r="H8" s="4" t="n">
        <v>0.36</v>
      </c>
      <c r="I8" s="4" t="n">
        <v>0.216</v>
      </c>
      <c r="J8" s="4" t="n">
        <v>0.493</v>
      </c>
      <c r="K8" s="4" t="n">
        <v>0.06900000000000001</v>
      </c>
      <c r="L8" s="4" t="n">
        <v>0.165</v>
      </c>
      <c r="M8" s="4" t="n">
        <v>0.253</v>
      </c>
    </row>
    <row r="9">
      <c r="A9" t="n">
        <v>2024</v>
      </c>
      <c r="B9" t="inlineStr">
        <is>
          <t>Medicaid (Title XIX), Title XXI-funded Medicaid Expansion CHIP</t>
        </is>
      </c>
      <c r="C9" t="inlineStr">
        <is>
          <t>Administrative</t>
        </is>
      </c>
      <c r="D9" t="inlineStr">
        <is>
          <t>Percentage of Enrolled Children who Received at Least Two Topical Fluoride Applications as Dental or Oral Health Services: Total (Ages 1 through 20)</t>
        </is>
      </c>
      <c r="E9" t="inlineStr">
        <is>
          <t>Higher values are better</t>
        </is>
      </c>
      <c r="F9" t="inlineStr">
        <is>
          <t>Mathematica analysis of the Quality Measure Reporting (QMR) system reports for the 2024 Core Set as of April 28, 2025.</t>
        </is>
      </c>
      <c r="G9" t="inlineStr">
        <is>
          <t>State-specific comments: Medicaid rate includes managed care population (3 MCOs). The state described the "other" data sources used to calculate the measure as the following: "Dental encounter and enrollment data." Rate was audited or validated.</t>
        </is>
      </c>
      <c r="H9" s="4" t="n">
        <v>0.36</v>
      </c>
      <c r="I9" s="4" t="n">
        <v>0.216</v>
      </c>
      <c r="J9" s="4" t="n">
        <v>0.493</v>
      </c>
      <c r="K9" s="4" t="n">
        <v>0.06900000000000001</v>
      </c>
      <c r="L9" s="4" t="n">
        <v>0.165</v>
      </c>
      <c r="M9" s="4" t="n">
        <v>0.253</v>
      </c>
    </row>
    <row r="10">
      <c r="A10" t="n">
        <v>2024</v>
      </c>
      <c r="B10" t="inlineStr">
        <is>
          <t>Separate CHIP (Title XXI)</t>
        </is>
      </c>
      <c r="C10" t="inlineStr">
        <is>
          <t>Administrative</t>
        </is>
      </c>
      <c r="D10" t="inlineStr">
        <is>
          <t>Percentage of Enrolled Children who Received at Least Two Topical Fluoride Applications as Dental or Oral Health Services: Total (Ages 1 through 20)</t>
        </is>
      </c>
      <c r="E10" t="inlineStr">
        <is>
          <t>Higher values are better</t>
        </is>
      </c>
      <c r="F10" t="inlineStr">
        <is>
          <t>Mathematica analysis of the Quality Measure Reporting (QMR) system reports for the 2024 Core Set as of April 28, 2025.</t>
        </is>
      </c>
      <c r="G10" t="inlineStr">
        <is>
          <t>State-specific comments: Separate CHIP rate includes managed care population (3 MCOs). The state described the "other" data sources used to calculate the measure as the following: "Dental encounter and enrollment data." Rate was audited or validated.</t>
        </is>
      </c>
      <c r="H10" s="4" t="n">
        <v>0.365</v>
      </c>
      <c r="I10" s="4" t="n">
        <v>0.216</v>
      </c>
      <c r="J10" s="4" t="n">
        <v>0.493</v>
      </c>
      <c r="K10" s="4" t="n">
        <v>0.06900000000000001</v>
      </c>
      <c r="L10" s="4" t="n">
        <v>0.165</v>
      </c>
      <c r="M10" s="4" t="n">
        <v>0.253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22" customWidth="1" min="1" max="1"/>
    <col width="13" customWidth="1" min="2" max="2"/>
    <col width="60" customWidth="1" min="3" max="3"/>
    <col width="16" customWidth="1" min="4" max="4"/>
    <col width="60" customWidth="1" min="5" max="5"/>
    <col width="26" customWidth="1" min="6" max="6"/>
    <col width="60" customWidth="1" min="7" max="7"/>
    <col width="60" customWidth="1" min="8" max="8"/>
    <col width="1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Use of First-Line Psychosocial Care for Children and Adolescents on Antipsychotics: Ages 1 to 17 (APP-CH)</t>
        </is>
      </c>
    </row>
    <row r="2"/>
    <row r="3">
      <c r="A3" s="1" t="inlineStr">
        <is>
          <t>Age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Ages 1 to 11</t>
        </is>
      </c>
      <c r="B4" t="n">
        <v>2024</v>
      </c>
      <c r="C4" t="inlineStr">
        <is>
          <t>Medicaid (Title XIX), Title XXI-funded Medicaid Expansion CHIP, Separate CHIP (Title XXI)</t>
        </is>
      </c>
      <c r="D4" t="inlineStr">
        <is>
          <t>Administrative</t>
        </is>
      </c>
      <c r="E4" t="inlineStr">
        <is>
          <t>Percentage who had a New Prescription for an Antipsychotic Medication and had Documentation of Psychosocial Care as First-Line Treatment: Ages 1 to 11</t>
        </is>
      </c>
      <c r="F4" t="inlineStr">
        <is>
          <t>Higher values are better</t>
        </is>
      </c>
      <c r="G4" t="inlineStr">
        <is>
          <t>Mathematica analysis of the Quality Measure Reporting (QMR) system reports for the 2024 Core Set as of April 28, 2025.</t>
        </is>
      </c>
      <c r="H4" t="inlineStr">
        <is>
          <t>State-specific comments: Rate combines the Medicaid and separate CHIP data reported by the state in the QMR system. See Medicaid and separate CHIP state-specific comments for information about the data reported for each population.</t>
        </is>
      </c>
      <c r="I4" s="4" t="n">
        <v>0.418</v>
      </c>
      <c r="J4" s="4" t="n">
        <v>0.579</v>
      </c>
      <c r="K4" s="4" t="n">
        <v>0.85</v>
      </c>
      <c r="L4" s="4" t="n">
        <v>0.39</v>
      </c>
      <c r="M4" s="4" t="n">
        <v>0.529</v>
      </c>
      <c r="N4" s="4" t="n">
        <v>0.636</v>
      </c>
    </row>
    <row r="5">
      <c r="A5" t="inlineStr">
        <is>
          <t>Ages 1 to 11</t>
        </is>
      </c>
      <c r="B5" t="n">
        <v>2024</v>
      </c>
      <c r="C5" t="inlineStr">
        <is>
          <t>Medicaid (Title XIX), Title XXI-funded Medicaid Expansion CHIP</t>
        </is>
      </c>
      <c r="D5" t="inlineStr">
        <is>
          <t>Administrative</t>
        </is>
      </c>
      <c r="E5" t="inlineStr">
        <is>
          <t>Percentage who had a New Prescription for an Antipsychotic Medication and had Documentation of Psychosocial Care as First-Line Treatment: Ages 1 to 11</t>
        </is>
      </c>
      <c r="F5" t="inlineStr">
        <is>
          <t>Higher values are better</t>
        </is>
      </c>
      <c r="G5" t="inlineStr">
        <is>
          <t>Mathematica analysis of the Quality Measure Reporting (QMR) system reports for the 2024 Core Set as of April 28, 2025.</t>
        </is>
      </c>
      <c r="H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0.418</v>
      </c>
      <c r="J5" s="4" t="n">
        <v>0.579</v>
      </c>
      <c r="K5" s="4" t="n">
        <v>0.85</v>
      </c>
      <c r="L5" s="4" t="n">
        <v>0.39</v>
      </c>
      <c r="M5" s="4" t="n">
        <v>0.529</v>
      </c>
      <c r="N5" s="4" t="n">
        <v>0.636</v>
      </c>
    </row>
    <row r="6">
      <c r="A6" t="inlineStr">
        <is>
          <t>Ages 1 to 11</t>
        </is>
      </c>
      <c r="B6" t="n">
        <v>2024</v>
      </c>
      <c r="C6" t="inlineStr">
        <is>
          <t>Separate CHIP (Title XXI)</t>
        </is>
      </c>
      <c r="D6" t="inlineStr">
        <is>
          <t>Administrative</t>
        </is>
      </c>
      <c r="E6" t="inlineStr">
        <is>
          <t>Percentage who had a New Prescription for an Antipsychotic Medication and had Documentation of Psychosocial Care as First-Line Treatment: Ages 1 to 11</t>
        </is>
      </c>
      <c r="F6" t="inlineStr">
        <is>
          <t>Higher values are better</t>
        </is>
      </c>
      <c r="G6" t="inlineStr">
        <is>
          <t>Mathematica analysis of the Quality Measure Reporting (QMR) system reports for the 2024 Core Set as of April 28, 2025.</t>
        </is>
      </c>
      <c r="H6"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t="inlineStr">
        <is>
          <t>Data suppressed</t>
        </is>
      </c>
      <c r="J6" s="4" t="n">
        <v>0.579</v>
      </c>
      <c r="K6" s="4" t="n">
        <v>0.85</v>
      </c>
      <c r="L6" s="4" t="n">
        <v>0.39</v>
      </c>
      <c r="M6" s="4" t="n">
        <v>0.529</v>
      </c>
      <c r="N6" s="4" t="n">
        <v>0.636</v>
      </c>
    </row>
    <row r="7">
      <c r="A7" t="inlineStr">
        <is>
          <t>Ages 12 to 17</t>
        </is>
      </c>
      <c r="B7" t="n">
        <v>2024</v>
      </c>
      <c r="C7" t="inlineStr">
        <is>
          <t>Medicaid (Title XIX), Title XXI-funded Medicaid Expansion CHIP, Separate CHIP (Title XXI)</t>
        </is>
      </c>
      <c r="D7" t="inlineStr">
        <is>
          <t>Administrative</t>
        </is>
      </c>
      <c r="E7" t="inlineStr">
        <is>
          <t>Percentage who had a New Prescription for an Antipsychotic Medication and had Documentation of Psychosocial Care as First-Line Treatment: Ages 12 to 17</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0.457</v>
      </c>
      <c r="J7" s="4" t="n">
        <v>0.62</v>
      </c>
      <c r="K7" s="4" t="n">
        <v>0.8149999999999999</v>
      </c>
      <c r="L7" s="4" t="n">
        <v>0.443</v>
      </c>
      <c r="M7" s="4" t="n">
        <v>0.582</v>
      </c>
      <c r="N7" s="4" t="n">
        <v>0.67</v>
      </c>
    </row>
    <row r="8">
      <c r="A8" t="inlineStr">
        <is>
          <t>Ages 12 to 17</t>
        </is>
      </c>
      <c r="B8" t="n">
        <v>2024</v>
      </c>
      <c r="C8" t="inlineStr">
        <is>
          <t>Medicaid (Title XIX), Title XXI-funded Medicaid Expansion CHIP</t>
        </is>
      </c>
      <c r="D8" t="inlineStr">
        <is>
          <t>Administrative</t>
        </is>
      </c>
      <c r="E8" t="inlineStr">
        <is>
          <t>Percentage who had a New Prescription for an Antipsychotic Medication and had Documentation of Psychosocial Care as First-Line Treatment: Ages 12 to 17</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0.457</v>
      </c>
      <c r="J8" s="4" t="n">
        <v>0.62</v>
      </c>
      <c r="K8" s="4" t="n">
        <v>0.8149999999999999</v>
      </c>
      <c r="L8" s="4" t="n">
        <v>0.443</v>
      </c>
      <c r="M8" s="4" t="n">
        <v>0.582</v>
      </c>
      <c r="N8" s="4" t="n">
        <v>0.67</v>
      </c>
    </row>
    <row r="9">
      <c r="A9" t="inlineStr">
        <is>
          <t>Ages 12 to 17</t>
        </is>
      </c>
      <c r="B9" t="n">
        <v>2024</v>
      </c>
      <c r="C9" t="inlineStr">
        <is>
          <t>Separate CHIP (Title XXI)</t>
        </is>
      </c>
      <c r="D9" t="inlineStr">
        <is>
          <t>Administrative</t>
        </is>
      </c>
      <c r="E9" t="inlineStr">
        <is>
          <t>Percentage who had a New Prescription for an Antipsychotic Medication and had Documentation of Psychosocial Care as First-Line Treatment: Ages 12 to 17</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s="4" t="n">
        <v>0.455</v>
      </c>
      <c r="J9" s="4" t="n">
        <v>0.62</v>
      </c>
      <c r="K9" s="4" t="n">
        <v>0.8149999999999999</v>
      </c>
      <c r="L9" s="4" t="n">
        <v>0.443</v>
      </c>
      <c r="M9" s="4" t="n">
        <v>0.582</v>
      </c>
      <c r="N9" s="4" t="n">
        <v>0.67</v>
      </c>
    </row>
    <row r="10">
      <c r="A10" t="inlineStr">
        <is>
          <t>Total (Ages 1 to 17)</t>
        </is>
      </c>
      <c r="B10" t="n">
        <v>2024</v>
      </c>
      <c r="C10" t="inlineStr">
        <is>
          <t>Medicaid (Title XIX), Title XXI-funded Medicaid Expansion CHIP, Separate CHIP (Title XXI)</t>
        </is>
      </c>
      <c r="D10" t="inlineStr">
        <is>
          <t>Administrative</t>
        </is>
      </c>
      <c r="E10" t="inlineStr">
        <is>
          <t>Percentage who had a New Prescription for an Antipsychotic Medication and had Documentation of Psychosocial Care as First-Line Treatment: Ages 1 to 17</t>
        </is>
      </c>
      <c r="F10" t="inlineStr">
        <is>
          <t>Higher values are better</t>
        </is>
      </c>
      <c r="G10" t="inlineStr">
        <is>
          <t>Mathematica analysis of the Quality Measure Reporting (QMR) system reports for the 2024 Core Set as of April 28, 2025.</t>
        </is>
      </c>
      <c r="H10" t="inlineStr">
        <is>
          <t>State-specific comments: Rate combines the Medicaid and separate CHIP data reported by the state in the QMR system. See Medicaid and separate CHIP state-specific comments for information about the data reported for each population.</t>
        </is>
      </c>
      <c r="I10" s="4" t="n">
        <v>0.442</v>
      </c>
      <c r="J10" s="4" t="n">
        <v>0.599</v>
      </c>
      <c r="K10" s="4" t="n">
        <v>0.787</v>
      </c>
      <c r="L10" s="4" t="n">
        <v>0.431</v>
      </c>
      <c r="M10" s="4" t="n">
        <v>0.571</v>
      </c>
      <c r="N10" s="4" t="n">
        <v>0.665</v>
      </c>
    </row>
    <row r="11">
      <c r="A11" t="inlineStr">
        <is>
          <t>Total (Ages 1 to 17)</t>
        </is>
      </c>
      <c r="B11" t="n">
        <v>2024</v>
      </c>
      <c r="C11" t="inlineStr">
        <is>
          <t>Medicaid (Title XIX), Title XXI-funded Medicaid Expansion CHIP</t>
        </is>
      </c>
      <c r="D11" t="inlineStr">
        <is>
          <t>Administrative</t>
        </is>
      </c>
      <c r="E11" t="inlineStr">
        <is>
          <t>Percentage who had a New Prescription for an Antipsychotic Medication and had Documentation of Psychosocial Care as First-Line Treatment: Ages 1 to 17</t>
        </is>
      </c>
      <c r="F11" t="inlineStr">
        <is>
          <t>Higher values are better</t>
        </is>
      </c>
      <c r="G11" t="inlineStr">
        <is>
          <t>Mathematica analysis of the Quality Measure Reporting (QMR) system reports for the 2024 Core Set as of April 28, 2025.</t>
        </is>
      </c>
      <c r="H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0.442</v>
      </c>
      <c r="J11" s="4" t="n">
        <v>0.599</v>
      </c>
      <c r="K11" s="4" t="n">
        <v>0.787</v>
      </c>
      <c r="L11" s="4" t="n">
        <v>0.431</v>
      </c>
      <c r="M11" s="4" t="n">
        <v>0.571</v>
      </c>
      <c r="N11" s="4" t="n">
        <v>0.665</v>
      </c>
    </row>
    <row r="12">
      <c r="A12" t="inlineStr">
        <is>
          <t>Total (Ages 1 to 17)</t>
        </is>
      </c>
      <c r="B12" t="n">
        <v>2024</v>
      </c>
      <c r="C12" t="inlineStr">
        <is>
          <t>Separate CHIP (Title XXI)</t>
        </is>
      </c>
      <c r="D12" t="inlineStr">
        <is>
          <t>Administrative</t>
        </is>
      </c>
      <c r="E12" t="inlineStr">
        <is>
          <t>Percentage who had a New Prescription for an Antipsychotic Medication and had Documentation of Psychosocial Care as First-Line Treatment: Ages 1 to 17</t>
        </is>
      </c>
      <c r="F12" t="inlineStr">
        <is>
          <t>Higher values are better</t>
        </is>
      </c>
      <c r="G12" t="inlineStr">
        <is>
          <t>Mathematica analysis of the Quality Measure Reporting (QMR) system reports for the 2024 Core Set as of April 28, 2025.</t>
        </is>
      </c>
      <c r="H1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0.4</v>
      </c>
      <c r="J12" s="4" t="n">
        <v>0.599</v>
      </c>
      <c r="K12" s="4" t="n">
        <v>0.787</v>
      </c>
      <c r="L12" s="4" t="n">
        <v>0.431</v>
      </c>
      <c r="M12" s="4" t="n">
        <v>0.571</v>
      </c>
      <c r="N12" s="4" t="n">
        <v>0.665</v>
      </c>
    </row>
    <row r="13">
      <c r="A13" t="inlineStr"/>
      <c r="B13" t="n">
        <v>2021</v>
      </c>
      <c r="C13" t="inlineStr">
        <is>
          <t>Medicaid only</t>
        </is>
      </c>
      <c r="D13" t="inlineStr">
        <is>
          <t>Administrative</t>
        </is>
      </c>
      <c r="E13" t="inlineStr">
        <is>
          <t>Percentage who had a New Prescription for an Antipsychotic Medication and had Documentation of Psychosocial Care as First-Line Treatment: Ages 1 to 17</t>
        </is>
      </c>
      <c r="F13" t="inlineStr">
        <is>
          <t>Higher values are better</t>
        </is>
      </c>
      <c r="G13" t="inlineStr">
        <is>
          <t>Mathematica analysis of the Quality Measure Reporting (QMR) system reports for the FFY 2021 reporting cycle as of June 1, 2023.</t>
        </is>
      </c>
      <c r="H13"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I13" s="4" t="n">
        <v>0.468</v>
      </c>
      <c r="J13" s="4" t="n">
        <v>0.633</v>
      </c>
      <c r="K13" s="4" t="n">
        <v>0.83</v>
      </c>
      <c r="L13" s="4" t="n">
        <v>0.194</v>
      </c>
      <c r="M13" s="4" t="n">
        <v>0.577</v>
      </c>
      <c r="N13" s="4" t="n">
        <v>0.6919999999999999</v>
      </c>
    </row>
    <row r="14">
      <c r="A14" t="inlineStr"/>
      <c r="B14" t="n">
        <v>2021</v>
      </c>
      <c r="C14" t="inlineStr">
        <is>
          <t>CHIP only</t>
        </is>
      </c>
      <c r="D14" t="inlineStr">
        <is>
          <t>Administrative</t>
        </is>
      </c>
      <c r="E14" t="inlineStr">
        <is>
          <t>Percentage who had a New Prescription for an Antipsychotic Medication and had Documentation of Psychosocial Care as First-Line Treatment: Ages 1 to 17</t>
        </is>
      </c>
      <c r="F14" t="inlineStr">
        <is>
          <t>Higher values are better</t>
        </is>
      </c>
      <c r="G14" t="inlineStr">
        <is>
          <t>Mathematica analysis of the Quality Measure Reporting (QMR) system reports for the FFY 2021 reporting cycle as of June 1, 2023.</t>
        </is>
      </c>
      <c r="H14"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I14" s="4" t="n">
        <v>0.385</v>
      </c>
      <c r="J14" s="4" t="n">
        <v>0.633</v>
      </c>
      <c r="K14" s="4" t="n">
        <v>0.83</v>
      </c>
      <c r="L14" s="4" t="n">
        <v>0.194</v>
      </c>
      <c r="M14" s="4" t="n">
        <v>0.577</v>
      </c>
      <c r="N14" s="4" t="n">
        <v>0.6919999999999999</v>
      </c>
    </row>
    <row r="15">
      <c r="A15" t="inlineStr"/>
      <c r="B15" t="n">
        <v>2022</v>
      </c>
      <c r="C15" t="inlineStr">
        <is>
          <t>Medicaid only</t>
        </is>
      </c>
      <c r="D15" t="inlineStr">
        <is>
          <t>Administrative</t>
        </is>
      </c>
      <c r="E15" t="inlineStr">
        <is>
          <t>Percentage who had a New Prescription for an Antipsychotic Medication and had Documentation of Psychosocial Care as First-Line Treatment: Ages 1 to 17</t>
        </is>
      </c>
      <c r="F15" t="inlineStr">
        <is>
          <t>Higher values are better</t>
        </is>
      </c>
      <c r="G15" t="inlineStr">
        <is>
          <t>Mathematica analysis of the Quality Measure Reporting (QMR) system reports for the FFY 2022 reporting cycle as of June 1, 2023.</t>
        </is>
      </c>
      <c r="H15"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I15" s="4" t="n">
        <v>0.433</v>
      </c>
      <c r="J15" s="4" t="n">
        <v>0.626</v>
      </c>
      <c r="K15" s="4" t="n">
        <v>0.8100000000000001</v>
      </c>
      <c r="L15" s="4" t="n">
        <v>0.275</v>
      </c>
      <c r="M15" s="4" t="n">
        <v>0.586</v>
      </c>
      <c r="N15" s="4" t="n">
        <v>0.672</v>
      </c>
    </row>
    <row r="16">
      <c r="A16" t="inlineStr"/>
      <c r="B16" t="n">
        <v>2022</v>
      </c>
      <c r="C16" t="inlineStr">
        <is>
          <t>CHIP only</t>
        </is>
      </c>
      <c r="D16" t="inlineStr">
        <is>
          <t>Administrative</t>
        </is>
      </c>
      <c r="E16" t="inlineStr">
        <is>
          <t>Percentage who had a New Prescription for an Antipsychotic Medication and had Documentation of Psychosocial Care as First-Line Treatment: Ages 1 to 17</t>
        </is>
      </c>
      <c r="F16" t="inlineStr">
        <is>
          <t>Higher values are better</t>
        </is>
      </c>
      <c r="G16" t="inlineStr">
        <is>
          <t>Mathematica analysis of the Quality Measure Reporting (QMR) system reports for the FFY 2022 reporting cycle as of June 1, 2023.</t>
        </is>
      </c>
      <c r="H16"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I16" s="4" t="n">
        <v>0.424</v>
      </c>
      <c r="J16" s="4" t="n">
        <v>0.626</v>
      </c>
      <c r="K16" s="4" t="n">
        <v>0.8100000000000001</v>
      </c>
      <c r="L16" s="4" t="n">
        <v>0.275</v>
      </c>
      <c r="M16" s="4" t="n">
        <v>0.586</v>
      </c>
      <c r="N16" s="4" t="n">
        <v>0.672</v>
      </c>
    </row>
    <row r="17">
      <c r="A17" t="inlineStr"/>
      <c r="B17" t="n">
        <v>2023</v>
      </c>
      <c r="C17" t="inlineStr">
        <is>
          <t>Medicaid only</t>
        </is>
      </c>
      <c r="D17" t="inlineStr">
        <is>
          <t>Administrative</t>
        </is>
      </c>
      <c r="E17" t="inlineStr">
        <is>
          <t>Percentage who had a New Prescription for an Antipsychotic Medication and had Documentation of Psychosocial Care as First-Line Treatment: Ages 1 to 17</t>
        </is>
      </c>
      <c r="F17" t="inlineStr">
        <is>
          <t>Higher values are better</t>
        </is>
      </c>
      <c r="G17" t="inlineStr">
        <is>
          <t>Mathematica analysis of the Quality Measure Reporting (QMR) system reports for the 2023 Core Set as of May 16, 2024.</t>
        </is>
      </c>
      <c r="H17" t="inlineStr">
        <is>
          <t>State-specific comments: Medicaid 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I17" s="4" t="n">
        <v>0.433</v>
      </c>
      <c r="J17" s="4" t="n">
        <v>0.605</v>
      </c>
      <c r="K17" s="4" t="n">
        <v>0.798</v>
      </c>
      <c r="L17" s="4" t="n">
        <v>0.433</v>
      </c>
      <c r="M17" s="4" t="n">
        <v>0.572</v>
      </c>
      <c r="N17" s="4" t="n">
        <v>0.678</v>
      </c>
    </row>
    <row r="18">
      <c r="A18" t="inlineStr"/>
      <c r="B18" t="n">
        <v>2023</v>
      </c>
      <c r="C18" t="inlineStr">
        <is>
          <t>CHIP only</t>
        </is>
      </c>
      <c r="D18" t="inlineStr">
        <is>
          <t>Administrative</t>
        </is>
      </c>
      <c r="E18" t="inlineStr">
        <is>
          <t>Percentage who had a New Prescription for an Antipsychotic Medication and had Documentation of Psychosocial Care as First-Line Treatment: Ages 1 to 17</t>
        </is>
      </c>
      <c r="F18" t="inlineStr">
        <is>
          <t>Higher values are better</t>
        </is>
      </c>
      <c r="G18" t="inlineStr">
        <is>
          <t>Mathematica analysis of the Quality Measure Reporting (QMR) system reports for the 2023 Core Set as of May 16, 2024.</t>
        </is>
      </c>
      <c r="H18" t="inlineStr">
        <is>
          <t>State-specific comments: CHIP rate includes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t>
        </is>
      </c>
      <c r="I18" s="4" t="n">
        <v>0.42</v>
      </c>
      <c r="J18" s="4" t="n">
        <v>0.605</v>
      </c>
      <c r="K18" s="4" t="n">
        <v>0.798</v>
      </c>
      <c r="L18" s="4" t="n">
        <v>0.433</v>
      </c>
      <c r="M18" s="4" t="n">
        <v>0.572</v>
      </c>
      <c r="N18" s="4" t="n">
        <v>0.678</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5" customWidth="1" min="1" max="1"/>
    <col width="60" customWidth="1" min="2" max="2"/>
    <col width="25" customWidth="1" min="3" max="3"/>
    <col width="60" customWidth="1" min="4" max="4"/>
    <col width="23" customWidth="1" min="5" max="5"/>
    <col width="8" customWidth="1" min="6" max="6"/>
    <col width="9" customWidth="1" min="7" max="7"/>
    <col width="9" customWidth="1" min="8" max="8"/>
    <col width="16" customWidth="1" min="9" max="9"/>
    <col width="16" customWidth="1" min="10" max="10"/>
  </cols>
  <sheetData>
    <row r="1">
      <c r="A1" t="inlineStr">
        <is>
          <t>Measure Name</t>
        </is>
      </c>
      <c r="B1" t="inlineStr">
        <is>
          <t>Use of Opioids at High Dosage in Persons Without Cancer: Age 18 and Older (OHD-AD)</t>
        </is>
      </c>
    </row>
    <row r="2"/>
    <row r="3">
      <c r="A3" s="1" t="inlineStr">
        <is>
          <t>Data Period</t>
        </is>
      </c>
      <c r="B3" s="1" t="inlineStr">
        <is>
          <t>Value Type</t>
        </is>
      </c>
      <c r="C3" s="1" t="inlineStr">
        <is>
          <t>Value Directionality</t>
        </is>
      </c>
      <c r="D3" s="1" t="inlineStr">
        <is>
          <t>Analysis Source</t>
        </is>
      </c>
      <c r="E3" s="1" t="inlineStr">
        <is>
          <t>Value</t>
        </is>
      </c>
      <c r="F3" s="1" t="inlineStr">
        <is>
          <t>Median</t>
        </is>
      </c>
      <c r="G3" s="1" t="inlineStr">
        <is>
          <t>Maximum</t>
        </is>
      </c>
      <c r="H3" s="1" t="inlineStr">
        <is>
          <t>Minimum</t>
        </is>
      </c>
      <c r="I3" s="1" t="inlineStr">
        <is>
          <t>First quartile</t>
        </is>
      </c>
      <c r="J3" s="1" t="inlineStr">
        <is>
          <t>Third quartile</t>
        </is>
      </c>
    </row>
    <row r="4">
      <c r="A4" t="n">
        <v>2021</v>
      </c>
      <c r="B4" t="inlineStr">
        <is>
          <t>Percentage of Adults Without Cancer who Received Prescriptions for Opioids with an Average Daily Dosage Greater than or Equal to 90 Morphine Milligram Equivalents (MME) for a Period of 90 Days or More: Ages 18 to 64 Years</t>
        </is>
      </c>
      <c r="C4" t="inlineStr">
        <is>
          <t>Lower values are better</t>
        </is>
      </c>
      <c r="D4" t="inlineStr">
        <is>
          <t>Mathematica analysis of the Quality Measure Reporting (QMR) system reports for the FFY 2021 reporting cycle as of June 1, 2023.</t>
        </is>
      </c>
      <c r="E4" t="inlineStr">
        <is>
          <t>Not reported by state</t>
        </is>
      </c>
      <c r="F4" s="4" t="n">
        <v>0.07199999999999999</v>
      </c>
      <c r="G4" s="4" t="n">
        <v>0.224</v>
      </c>
      <c r="H4" s="4" t="n">
        <v>0.007</v>
      </c>
      <c r="I4" s="4" t="n">
        <v>0.04</v>
      </c>
      <c r="J4" s="4" t="n">
        <v>0.099</v>
      </c>
    </row>
    <row r="5">
      <c r="A5" t="n">
        <v>2022</v>
      </c>
      <c r="B5" t="inlineStr">
        <is>
          <t>Percentage of Adults Without Cancer who Received Prescriptions for Opioids with an Average Daily Dosage Greater than or Equal to 90 Morphine Milligram Equivalents (MME) for a Period of 90 Days or More: Ages 18 to 64 Years</t>
        </is>
      </c>
      <c r="C5" t="inlineStr">
        <is>
          <t>Lower values are better</t>
        </is>
      </c>
      <c r="D5" t="inlineStr">
        <is>
          <t>Mathematica analysis of the Quality Measure Reporting (QMR) system reports for the FFY 2022 reporting cycle as of June 1, 2023.</t>
        </is>
      </c>
      <c r="E5" t="inlineStr">
        <is>
          <t>Not reported by state</t>
        </is>
      </c>
      <c r="F5" s="4" t="n">
        <v>0.067</v>
      </c>
      <c r="G5" s="4" t="n">
        <v>0.198</v>
      </c>
      <c r="H5" s="4" t="n">
        <v>0.007</v>
      </c>
      <c r="I5" s="4" t="n">
        <v>0.032</v>
      </c>
      <c r="J5" s="4" t="n">
        <v>0.09</v>
      </c>
    </row>
    <row r="6">
      <c r="A6" t="n">
        <v>2023</v>
      </c>
      <c r="B6" t="inlineStr">
        <is>
          <t>Percentage of Adults Without Cancer who Received Prescriptions for Opioids with an Average Daily Dosage Greater than or Equal to 90 Morphine Milligram Equivalents (MME) for a Period of 90 Days or More: Ages 18 to 64 Years</t>
        </is>
      </c>
      <c r="C6" t="inlineStr">
        <is>
          <t>Lower values are better</t>
        </is>
      </c>
      <c r="D6" t="inlineStr">
        <is>
          <t>Mathematica analysis of the Quality Measure Reporting (QMR) system reports for the 2023 Core Set as of May 16, 2024.</t>
        </is>
      </c>
      <c r="E6" t="inlineStr">
        <is>
          <t>Not reported by state</t>
        </is>
      </c>
      <c r="F6" s="4" t="n">
        <v>0.059</v>
      </c>
      <c r="G6" s="4" t="n">
        <v>0.207</v>
      </c>
      <c r="H6" s="4" t="n">
        <v>0.005</v>
      </c>
      <c r="I6" s="4" t="n">
        <v>0.03</v>
      </c>
      <c r="J6" s="4" t="n">
        <v>0.08500000000000001</v>
      </c>
    </row>
    <row r="7">
      <c r="A7" t="n">
        <v>2024</v>
      </c>
      <c r="B7" t="inlineStr">
        <is>
          <t>Percentage of Adults Without Cancer who Received Prescriptions for Opioids with an Average Daily Dosage Greater than or Equal to 90 Morphine Milligram Equivalents (MME) for a Period of 90 Days or More: Ages 18 to 64</t>
        </is>
      </c>
      <c r="C7" t="inlineStr">
        <is>
          <t>Lower values are better</t>
        </is>
      </c>
      <c r="D7" t="inlineStr">
        <is>
          <t>Mathematica analysis of the Quality Measure Reporting (QMR) system reports for the 2024 Core Set as of April 28, 2025.</t>
        </is>
      </c>
      <c r="E7" t="inlineStr">
        <is>
          <t>Not reported by state</t>
        </is>
      </c>
      <c r="F7" s="4" t="n">
        <v>0.064</v>
      </c>
      <c r="G7" s="4" t="n">
        <v>0.254</v>
      </c>
      <c r="H7" s="4" t="n">
        <v>0</v>
      </c>
      <c r="I7" s="4" t="n">
        <v>0.022</v>
      </c>
      <c r="J7" s="4" t="n">
        <v>0.08599999999999999</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35" customWidth="1" min="1" max="1"/>
    <col width="13" customWidth="1" min="2" max="2"/>
    <col width="60" customWidth="1" min="3" max="3"/>
    <col width="16" customWidth="1" min="4" max="4"/>
    <col width="60" customWidth="1" min="5" max="5"/>
    <col width="26" customWidth="1" min="6" max="6"/>
    <col width="60" customWidth="1" min="7" max="7"/>
    <col width="60" customWidth="1" min="8" max="8"/>
    <col width="42"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Use of Pharmacotherapy for Opioid Use Disorder: Ages 18 to 64 (OUD-AD)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Buprenorphine</t>
        </is>
      </c>
      <c r="B4" t="n">
        <v>2024</v>
      </c>
      <c r="C4" t="inlineStr">
        <is>
          <t>Medicaid (Title XIX), Title XXI-funded Medicaid Expansion CHIP, Separate CHIP (Title XXI)</t>
        </is>
      </c>
      <c r="D4" t="inlineStr">
        <is>
          <t>Administrative</t>
        </is>
      </c>
      <c r="E4" t="inlineStr">
        <is>
          <t>Percentage with an Opioid Use Disorder who Filled a Prescription for or were Administered or Dispensed Buprenorphine: Ages 18 to 64</t>
        </is>
      </c>
      <c r="F4" t="inlineStr">
        <is>
          <t>Higher values are better</t>
        </is>
      </c>
      <c r="G4" t="inlineStr">
        <is>
          <t>Mathematica analysis of the Quality Measure Reporting (QMR) system reports for the 2024 Core Set as of April 28, 2025.</t>
        </is>
      </c>
      <c r="H4" t="inlineStr">
        <is>
          <t>State-specific comments: Rate combines the Medicaid and separate CHIP data reported by the state in the QMR system. See Medicaid and separate CHIP state-specific comments for information about the data reported for each population.</t>
        </is>
      </c>
      <c r="I4" s="4" t="n">
        <v>0.173</v>
      </c>
      <c r="J4" s="4" t="n">
        <v>0.4</v>
      </c>
      <c r="K4" s="4" t="n">
        <v>0.896</v>
      </c>
      <c r="L4" s="4" t="n">
        <v>0.003</v>
      </c>
      <c r="M4" s="4" t="n">
        <v>0.321</v>
      </c>
      <c r="N4" s="4" t="n">
        <v>0.511</v>
      </c>
    </row>
    <row r="5">
      <c r="A5" t="inlineStr">
        <is>
          <t>Buprenorphine</t>
        </is>
      </c>
      <c r="B5" t="n">
        <v>2024</v>
      </c>
      <c r="C5" t="inlineStr">
        <is>
          <t>Medicaid (Title XIX), Title XXI-funded Medicaid Expansion CHIP</t>
        </is>
      </c>
      <c r="D5" t="inlineStr">
        <is>
          <t>Administrative</t>
        </is>
      </c>
      <c r="E5" t="inlineStr">
        <is>
          <t>Percentage with an Opioid Use Disorder who Filled a Prescription for or were Administered or Dispensed Buprenorphine: Ages 18 to 64</t>
        </is>
      </c>
      <c r="F5" t="inlineStr">
        <is>
          <t>Higher values are better</t>
        </is>
      </c>
      <c r="G5" t="inlineStr">
        <is>
          <t>Mathematica analysis of the Quality Measure Reporting (QMR) system reports for the 2024 Core Set as of April 28, 2025.</t>
        </is>
      </c>
      <c r="H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0.173</v>
      </c>
      <c r="J5" s="4" t="n">
        <v>0.4</v>
      </c>
      <c r="K5" s="4" t="n">
        <v>0.896</v>
      </c>
      <c r="L5" s="4" t="n">
        <v>0.003</v>
      </c>
      <c r="M5" s="4" t="n">
        <v>0.321</v>
      </c>
      <c r="N5" s="4" t="n">
        <v>0.511</v>
      </c>
    </row>
    <row r="6">
      <c r="A6" t="inlineStr">
        <is>
          <t>Buprenorphine</t>
        </is>
      </c>
      <c r="B6" t="n">
        <v>2024</v>
      </c>
      <c r="C6" t="inlineStr">
        <is>
          <t>Separate CHIP (Title XXI)</t>
        </is>
      </c>
      <c r="D6" t="inlineStr">
        <is>
          <t>Administrative</t>
        </is>
      </c>
      <c r="E6" t="inlineStr">
        <is>
          <t>Percentage with an Opioid Use Disorder who Filled a Prescription for or were Administered or Dispensed Buprenorphine: Ages 18 to 64</t>
        </is>
      </c>
      <c r="F6" t="inlineStr">
        <is>
          <t>Higher values are better</t>
        </is>
      </c>
      <c r="G6" t="inlineStr">
        <is>
          <t>Mathematica analysis of the Quality Measure Reporting (QMR) system reports for the 2024 Core Set as of April 28, 2025.</t>
        </is>
      </c>
      <c r="H6"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t="inlineStr">
        <is>
          <t>Rate not available (denominator is zero)</t>
        </is>
      </c>
      <c r="J6" s="4" t="n">
        <v>0.4</v>
      </c>
      <c r="K6" s="4" t="n">
        <v>0.896</v>
      </c>
      <c r="L6" s="4" t="n">
        <v>0.003</v>
      </c>
      <c r="M6" s="4" t="n">
        <v>0.321</v>
      </c>
      <c r="N6" s="4" t="n">
        <v>0.511</v>
      </c>
    </row>
    <row r="7">
      <c r="A7" t="inlineStr">
        <is>
          <t>Long-acting Injectable Naltrexone</t>
        </is>
      </c>
      <c r="B7" t="n">
        <v>2024</v>
      </c>
      <c r="C7" t="inlineStr">
        <is>
          <t>Medicaid (Title XIX), Title XXI-funded Medicaid Expansion CHIP, Separate CHIP (Title XXI)</t>
        </is>
      </c>
      <c r="D7" t="inlineStr">
        <is>
          <t>Administrative</t>
        </is>
      </c>
      <c r="E7" t="inlineStr">
        <is>
          <t>Percentage with an Opioid Use Disorder who Filled a Prescription for or were Administered or Dispensed Long-acting Injectable Naltrexone: Ages 18 to 64</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0.001</v>
      </c>
      <c r="J7" s="4" t="n">
        <v>0.014</v>
      </c>
      <c r="K7" s="4" t="n">
        <v>0.556</v>
      </c>
      <c r="L7" s="4" t="n">
        <v>0</v>
      </c>
      <c r="M7" s="4" t="n">
        <v>0.008</v>
      </c>
      <c r="N7" s="4" t="n">
        <v>0.024</v>
      </c>
    </row>
    <row r="8">
      <c r="A8" t="inlineStr">
        <is>
          <t>Long-acting Injectable Naltrexone</t>
        </is>
      </c>
      <c r="B8" t="n">
        <v>2024</v>
      </c>
      <c r="C8" t="inlineStr">
        <is>
          <t>Medicaid (Title XIX), Title XXI-funded Medicaid Expansion CHIP</t>
        </is>
      </c>
      <c r="D8" t="inlineStr">
        <is>
          <t>Administrative</t>
        </is>
      </c>
      <c r="E8" t="inlineStr">
        <is>
          <t>Percentage with an Opioid Use Disorder who Filled a Prescription for or were Administered or Dispensed Long-acting Injectable Naltrexone: Ages 18 to 64</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0.001</v>
      </c>
      <c r="J8" s="4" t="n">
        <v>0.014</v>
      </c>
      <c r="K8" s="4" t="n">
        <v>0.556</v>
      </c>
      <c r="L8" s="4" t="n">
        <v>0</v>
      </c>
      <c r="M8" s="4" t="n">
        <v>0.008</v>
      </c>
      <c r="N8" s="4" t="n">
        <v>0.024</v>
      </c>
    </row>
    <row r="9">
      <c r="A9" t="inlineStr">
        <is>
          <t>Long-acting Injectable Naltrexone</t>
        </is>
      </c>
      <c r="B9" t="n">
        <v>2024</v>
      </c>
      <c r="C9" t="inlineStr">
        <is>
          <t>Separate CHIP (Title XXI)</t>
        </is>
      </c>
      <c r="D9" t="inlineStr">
        <is>
          <t>Administrative</t>
        </is>
      </c>
      <c r="E9" t="inlineStr">
        <is>
          <t>Percentage with an Opioid Use Disorder who Filled a Prescription for or were Administered or Dispensed Long-acting Injectable Naltrexone: Ages 18 to 64</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9" t="inlineStr">
        <is>
          <t>Rate not available (denominator is zero)</t>
        </is>
      </c>
      <c r="J9" s="4" t="n">
        <v>0.014</v>
      </c>
      <c r="K9" s="4" t="n">
        <v>0.556</v>
      </c>
      <c r="L9" s="4" t="n">
        <v>0</v>
      </c>
      <c r="M9" s="4" t="n">
        <v>0.008</v>
      </c>
      <c r="N9" s="4" t="n">
        <v>0.024</v>
      </c>
    </row>
    <row r="10">
      <c r="A10" t="inlineStr">
        <is>
          <t>Methadone</t>
        </is>
      </c>
      <c r="B10" t="n">
        <v>2024</v>
      </c>
      <c r="C10" t="inlineStr">
        <is>
          <t>Medicaid (Title XIX), Title XXI-funded Medicaid Expansion CHIP, Separate CHIP (Title XXI)</t>
        </is>
      </c>
      <c r="D10" t="inlineStr">
        <is>
          <t>Administrative</t>
        </is>
      </c>
      <c r="E10" t="inlineStr">
        <is>
          <t>Percentage with an Opioid Use Disorder who Filled a Prescription for or were Administered or Dispensed Methadone: Ages 18 to 64</t>
        </is>
      </c>
      <c r="F10" t="inlineStr">
        <is>
          <t>Higher values are better</t>
        </is>
      </c>
      <c r="G10" t="inlineStr">
        <is>
          <t>Mathematica analysis of the Quality Measure Reporting (QMR) system reports for the 2024 Core Set as of April 28, 2025.</t>
        </is>
      </c>
      <c r="H10" t="inlineStr">
        <is>
          <t>State-specific comments: Rate combines the Medicaid and separate CHIP data reported by the state in the QMR system. See Medicaid and separate CHIP state-specific comments for information about the data reported for each population.</t>
        </is>
      </c>
      <c r="I10" s="4" t="n">
        <v>0.195</v>
      </c>
      <c r="J10" s="4" t="n">
        <v>0.212</v>
      </c>
      <c r="K10" s="4" t="n">
        <v>0.503</v>
      </c>
      <c r="L10" s="4" t="n">
        <v>0</v>
      </c>
      <c r="M10" s="4" t="n">
        <v>0.139</v>
      </c>
      <c r="N10" s="4" t="n">
        <v>0.3</v>
      </c>
    </row>
    <row r="11">
      <c r="A11" t="inlineStr">
        <is>
          <t>Methadone</t>
        </is>
      </c>
      <c r="B11" t="n">
        <v>2024</v>
      </c>
      <c r="C11" t="inlineStr">
        <is>
          <t>Medicaid (Title XIX), Title XXI-funded Medicaid Expansion CHIP</t>
        </is>
      </c>
      <c r="D11" t="inlineStr">
        <is>
          <t>Administrative</t>
        </is>
      </c>
      <c r="E11" t="inlineStr">
        <is>
          <t>Percentage with an Opioid Use Disorder who Filled a Prescription for or were Administered or Dispensed Methadone: Ages 18 to 64</t>
        </is>
      </c>
      <c r="F11" t="inlineStr">
        <is>
          <t>Higher values are better</t>
        </is>
      </c>
      <c r="G11" t="inlineStr">
        <is>
          <t>Mathematica analysis of the Quality Measure Reporting (QMR) system reports for the 2024 Core Set as of April 28, 2025.</t>
        </is>
      </c>
      <c r="H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0.195</v>
      </c>
      <c r="J11" s="4" t="n">
        <v>0.212</v>
      </c>
      <c r="K11" s="4" t="n">
        <v>0.503</v>
      </c>
      <c r="L11" s="4" t="n">
        <v>0</v>
      </c>
      <c r="M11" s="4" t="n">
        <v>0.139</v>
      </c>
      <c r="N11" s="4" t="n">
        <v>0.3</v>
      </c>
    </row>
    <row r="12">
      <c r="A12" t="inlineStr">
        <is>
          <t>Methadone</t>
        </is>
      </c>
      <c r="B12" t="n">
        <v>2024</v>
      </c>
      <c r="C12" t="inlineStr">
        <is>
          <t>Separate CHIP (Title XXI)</t>
        </is>
      </c>
      <c r="D12" t="inlineStr">
        <is>
          <t>Administrative</t>
        </is>
      </c>
      <c r="E12" t="inlineStr">
        <is>
          <t>Percentage with an Opioid Use Disorder who Filled a Prescription for or were Administered or Dispensed Methadone: Ages 18 to 64</t>
        </is>
      </c>
      <c r="F12" t="inlineStr">
        <is>
          <t>Higher values are better</t>
        </is>
      </c>
      <c r="G12" t="inlineStr">
        <is>
          <t>Mathematica analysis of the Quality Measure Reporting (QMR) system reports for the 2024 Core Set as of April 28, 2025.</t>
        </is>
      </c>
      <c r="H1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t="inlineStr">
        <is>
          <t>Rate not available (denominator is zero)</t>
        </is>
      </c>
      <c r="J12" s="4" t="n">
        <v>0.212</v>
      </c>
      <c r="K12" s="4" t="n">
        <v>0.503</v>
      </c>
      <c r="L12" s="4" t="n">
        <v>0</v>
      </c>
      <c r="M12" s="4" t="n">
        <v>0.139</v>
      </c>
      <c r="N12" s="4" t="n">
        <v>0.3</v>
      </c>
    </row>
    <row r="13">
      <c r="A13" t="inlineStr">
        <is>
          <t>Oral Naltrexone</t>
        </is>
      </c>
      <c r="B13" t="n">
        <v>2024</v>
      </c>
      <c r="C13" t="inlineStr">
        <is>
          <t>Medicaid (Title XIX), Title XXI-funded Medicaid Expansion CHIP, Separate CHIP (Title XXI)</t>
        </is>
      </c>
      <c r="D13" t="inlineStr">
        <is>
          <t>Administrative</t>
        </is>
      </c>
      <c r="E13" t="inlineStr">
        <is>
          <t>Percentage with an Opioid Use Disorder who Filled a Prescription for or were Administered or Dispensed Oral Naltrexone: Ages 18 to 64</t>
        </is>
      </c>
      <c r="F13" t="inlineStr">
        <is>
          <t>Higher values are better</t>
        </is>
      </c>
      <c r="G13" t="inlineStr">
        <is>
          <t>Mathematica analysis of the Quality Measure Reporting (QMR) system reports for the 2024 Core Set as of April 28, 2025.</t>
        </is>
      </c>
      <c r="H13" t="inlineStr">
        <is>
          <t>State-specific comments: Rate combines the Medicaid and separate CHIP data reported by the state in the QMR system. See Medicaid and separate CHIP state-specific comments for information about the data reported for each population.</t>
        </is>
      </c>
      <c r="I13" s="4" t="n">
        <v>0.018</v>
      </c>
      <c r="J13" s="4" t="n">
        <v>0.025</v>
      </c>
      <c r="K13" s="4" t="n">
        <v>0.336</v>
      </c>
      <c r="L13" s="4" t="n">
        <v>0.003</v>
      </c>
      <c r="M13" s="4" t="n">
        <v>0.018</v>
      </c>
      <c r="N13" s="4" t="n">
        <v>0.034</v>
      </c>
    </row>
    <row r="14">
      <c r="A14" t="inlineStr">
        <is>
          <t>Oral Naltrexone</t>
        </is>
      </c>
      <c r="B14" t="n">
        <v>2024</v>
      </c>
      <c r="C14" t="inlineStr">
        <is>
          <t>Medicaid (Title XIX), Title XXI-funded Medicaid Expansion CHIP</t>
        </is>
      </c>
      <c r="D14" t="inlineStr">
        <is>
          <t>Administrative</t>
        </is>
      </c>
      <c r="E14" t="inlineStr">
        <is>
          <t>Percentage with an Opioid Use Disorder who Filled a Prescription for or were Administered or Dispensed Oral Naltrexone: Ages 18 to 64</t>
        </is>
      </c>
      <c r="F14" t="inlineStr">
        <is>
          <t>Higher values are better</t>
        </is>
      </c>
      <c r="G14" t="inlineStr">
        <is>
          <t>Mathematica analysis of the Quality Measure Reporting (QMR) system reports for the 2024 Core Set as of April 28, 2025.</t>
        </is>
      </c>
      <c r="H1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s="4" t="n">
        <v>0.018</v>
      </c>
      <c r="J14" s="4" t="n">
        <v>0.025</v>
      </c>
      <c r="K14" s="4" t="n">
        <v>0.336</v>
      </c>
      <c r="L14" s="4" t="n">
        <v>0.003</v>
      </c>
      <c r="M14" s="4" t="n">
        <v>0.018</v>
      </c>
      <c r="N14" s="4" t="n">
        <v>0.034</v>
      </c>
    </row>
    <row r="15">
      <c r="A15" t="inlineStr">
        <is>
          <t>Oral Naltrexone</t>
        </is>
      </c>
      <c r="B15" t="n">
        <v>2024</v>
      </c>
      <c r="C15" t="inlineStr">
        <is>
          <t>Separate CHIP (Title XXI)</t>
        </is>
      </c>
      <c r="D15" t="inlineStr">
        <is>
          <t>Administrative</t>
        </is>
      </c>
      <c r="E15" t="inlineStr">
        <is>
          <t>Percentage with an Opioid Use Disorder who Filled a Prescription for or were Administered or Dispensed Oral Naltrexone: Ages 18 to 64</t>
        </is>
      </c>
      <c r="F15" t="inlineStr">
        <is>
          <t>Higher values are better</t>
        </is>
      </c>
      <c r="G15" t="inlineStr">
        <is>
          <t>Mathematica analysis of the Quality Measure Reporting (QMR) system reports for the 2024 Core Set as of April 28, 2025.</t>
        </is>
      </c>
      <c r="H15"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t="inlineStr">
        <is>
          <t>Rate not available (denominator is zero)</t>
        </is>
      </c>
      <c r="J15" s="4" t="n">
        <v>0.025</v>
      </c>
      <c r="K15" s="4" t="n">
        <v>0.336</v>
      </c>
      <c r="L15" s="4" t="n">
        <v>0.003</v>
      </c>
      <c r="M15" s="4" t="n">
        <v>0.018</v>
      </c>
      <c r="N15" s="4" t="n">
        <v>0.034</v>
      </c>
    </row>
    <row r="16">
      <c r="A16" t="inlineStr">
        <is>
          <t>Total</t>
        </is>
      </c>
      <c r="B16" t="n">
        <v>2024</v>
      </c>
      <c r="C16" t="inlineStr">
        <is>
          <t>Medicaid (Title XIX), Title XXI-funded Medicaid Expansion CHIP, Separate CHIP (Title XXI)</t>
        </is>
      </c>
      <c r="D16" t="inlineStr">
        <is>
          <t>Administrative</t>
        </is>
      </c>
      <c r="E16" t="inlineStr">
        <is>
          <t>Percentage with an Opioid Use Disorder who Filled a Prescription for or were Administered or Dispensed an FDA-Approved Medication for the Disorder: Total Rate: Ages 18 to 64</t>
        </is>
      </c>
      <c r="F16" t="inlineStr">
        <is>
          <t>Higher values are better</t>
        </is>
      </c>
      <c r="G16" t="inlineStr">
        <is>
          <t>Mathematica analysis of the Quality Measure Reporting (QMR) system reports for the 2024 Core Set as of April 28, 2025.</t>
        </is>
      </c>
      <c r="H16" t="inlineStr">
        <is>
          <t>State-specific comments: Rate combines the Medicaid and separate CHIP data reported by the state in the QMR system. See Medicaid and separate CHIP state-specific comments for information about the data reported for each population.</t>
        </is>
      </c>
      <c r="I16" s="4" t="n">
        <v>0.374</v>
      </c>
      <c r="J16" s="4" t="n">
        <v>0.605</v>
      </c>
      <c r="K16" s="4" t="n">
        <v>0.909</v>
      </c>
      <c r="L16" s="4" t="n">
        <v>0.006</v>
      </c>
      <c r="M16" s="4" t="n">
        <v>0.49</v>
      </c>
      <c r="N16" s="4" t="n">
        <v>0.71</v>
      </c>
    </row>
    <row r="17">
      <c r="A17" t="inlineStr">
        <is>
          <t>Total</t>
        </is>
      </c>
      <c r="B17" t="n">
        <v>2024</v>
      </c>
      <c r="C17" t="inlineStr">
        <is>
          <t>Medicaid (Title XIX), Title XXI-funded Medicaid Expansion CHIP</t>
        </is>
      </c>
      <c r="D17" t="inlineStr">
        <is>
          <t>Administrative</t>
        </is>
      </c>
      <c r="E17" t="inlineStr">
        <is>
          <t>Percentage with an Opioid Use Disorder who Filled a Prescription for or were Administered or Dispensed an FDA-Approved Medication for the Disorder: Total Rate: Ages 18 to 64</t>
        </is>
      </c>
      <c r="F17" t="inlineStr">
        <is>
          <t>Higher values are better</t>
        </is>
      </c>
      <c r="G17" t="inlineStr">
        <is>
          <t>Mathematica analysis of the Quality Measure Reporting (QMR) system reports for the 2024 Core Set as of April 28, 2025.</t>
        </is>
      </c>
      <c r="H1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7" s="4" t="n">
        <v>0.374</v>
      </c>
      <c r="J17" s="4" t="n">
        <v>0.605</v>
      </c>
      <c r="K17" s="4" t="n">
        <v>0.909</v>
      </c>
      <c r="L17" s="4" t="n">
        <v>0.006</v>
      </c>
      <c r="M17" s="4" t="n">
        <v>0.49</v>
      </c>
      <c r="N17" s="4" t="n">
        <v>0.71</v>
      </c>
    </row>
    <row r="18">
      <c r="A18" t="inlineStr">
        <is>
          <t>Total</t>
        </is>
      </c>
      <c r="B18" t="n">
        <v>2024</v>
      </c>
      <c r="C18" t="inlineStr">
        <is>
          <t>Separate CHIP (Title XXI)</t>
        </is>
      </c>
      <c r="D18" t="inlineStr">
        <is>
          <t>Administrative</t>
        </is>
      </c>
      <c r="E18" t="inlineStr">
        <is>
          <t>Percentage with an Opioid Use Disorder who Filled a Prescription for or were Administered or Dispensed an FDA-Approved Medication for the Disorder: Total Rate: Ages 18 to 64</t>
        </is>
      </c>
      <c r="F18" t="inlineStr">
        <is>
          <t>Higher values are better</t>
        </is>
      </c>
      <c r="G18" t="inlineStr">
        <is>
          <t>Mathematica analysis of the Quality Measure Reporting (QMR) system reports for the 2024 Core Set as of April 28, 2025.</t>
        </is>
      </c>
      <c r="H18"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8" t="inlineStr">
        <is>
          <t>Rate not available (denominator is zero)</t>
        </is>
      </c>
      <c r="J18" s="4" t="n">
        <v>0.605</v>
      </c>
      <c r="K18" s="4" t="n">
        <v>0.909</v>
      </c>
      <c r="L18" s="4" t="n">
        <v>0.006</v>
      </c>
      <c r="M18" s="4" t="n">
        <v>0.49</v>
      </c>
      <c r="N18" s="4" t="n">
        <v>0.71</v>
      </c>
    </row>
    <row r="19">
      <c r="A19" t="inlineStr"/>
      <c r="B19" t="n">
        <v>2021</v>
      </c>
      <c r="C19" t="inlineStr"/>
      <c r="D19" t="inlineStr"/>
      <c r="E19" t="inlineStr">
        <is>
          <t>Percentage with an Opioid Use Disorder who Filled a Prescription for or were Administered or Dispensed an FDA-Approved Medication for the Disorder: Total Rate: Ages 18 to 64</t>
        </is>
      </c>
      <c r="F19" t="inlineStr">
        <is>
          <t>Higher values are better</t>
        </is>
      </c>
      <c r="G19" t="inlineStr">
        <is>
          <t>Mathematica analysis of the Quality Measure Reporting (QMR) system reports for the FFY 2021 reporting cycle as of June 1, 2023.</t>
        </is>
      </c>
      <c r="H19" t="inlineStr"/>
      <c r="I19" t="inlineStr">
        <is>
          <t>Not reported by state</t>
        </is>
      </c>
      <c r="J19" s="4" t="n">
        <v>0.543</v>
      </c>
      <c r="K19" s="4" t="n">
        <v>0.913</v>
      </c>
      <c r="L19" s="4" t="n">
        <v>0.194</v>
      </c>
      <c r="M19" s="4" t="n">
        <v>0.475</v>
      </c>
      <c r="N19" s="4" t="n">
        <v>0.74</v>
      </c>
    </row>
    <row r="20">
      <c r="A20" t="inlineStr"/>
      <c r="B20" t="n">
        <v>2022</v>
      </c>
      <c r="C20" t="inlineStr"/>
      <c r="D20" t="inlineStr"/>
      <c r="E20" t="inlineStr">
        <is>
          <t>Percentage with an Opioid Use Disorder who Filled a Prescription for or were Administered or Dispensed an FDA-Approved Medication for the Disorder: Total Rate: Ages 18 to 64</t>
        </is>
      </c>
      <c r="F20" t="inlineStr">
        <is>
          <t>Higher values are better</t>
        </is>
      </c>
      <c r="G20" t="inlineStr">
        <is>
          <t>Mathematica analysis of the Quality Measure Reporting (QMR) system reports for the FFY 2022 reporting cycle as of June 1, 2023.</t>
        </is>
      </c>
      <c r="H20" t="inlineStr"/>
      <c r="I20" t="inlineStr">
        <is>
          <t>Not reported by state</t>
        </is>
      </c>
      <c r="J20" s="4" t="n">
        <v>0.5620000000000001</v>
      </c>
      <c r="K20" s="4" t="n">
        <v>0.903</v>
      </c>
      <c r="L20" s="4" t="n">
        <v>0.273</v>
      </c>
      <c r="M20" s="4" t="n">
        <v>0.516</v>
      </c>
      <c r="N20" s="4" t="n">
        <v>0.71</v>
      </c>
    </row>
    <row r="21">
      <c r="A21" t="inlineStr"/>
      <c r="B21" t="n">
        <v>2023</v>
      </c>
      <c r="C21" t="inlineStr"/>
      <c r="D21" t="inlineStr"/>
      <c r="E21" t="inlineStr">
        <is>
          <t>Percentage with an Opioid Use Disorder who Filled a Prescription for or were Administered or Dispensed an FDA-Approved Medication for the Disorder: Total Rate: Ages 18 to 64</t>
        </is>
      </c>
      <c r="F21" t="inlineStr">
        <is>
          <t>Higher values are better</t>
        </is>
      </c>
      <c r="G21" t="inlineStr">
        <is>
          <t>Mathematica analysis of the Quality Measure Reporting (QMR) system reports for the 2023 Core Set as of May 16, 2024.</t>
        </is>
      </c>
      <c r="H21" t="inlineStr"/>
      <c r="I21" t="inlineStr">
        <is>
          <t>Not reported by state</t>
        </is>
      </c>
      <c r="J21" s="4" t="n">
        <v>0.602</v>
      </c>
      <c r="K21" s="4" t="n">
        <v>0.912</v>
      </c>
      <c r="L21" s="4" t="n">
        <v>0.007</v>
      </c>
      <c r="M21" s="4" t="n">
        <v>0.538</v>
      </c>
      <c r="N21" s="4" t="n">
        <v>0.717</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42" customWidth="1" min="1" max="1"/>
    <col width="13" customWidth="1" min="2" max="2"/>
    <col width="60" customWidth="1" min="3" max="3"/>
    <col width="13"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Weight Assessment and Counseling for Nutrition and Physical Activity for Children/Adolescents: Ages 3 to 17 (WCC-CH)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Body Mass Index Percentile Documentation</t>
        </is>
      </c>
      <c r="B4" t="n">
        <v>2021</v>
      </c>
      <c r="C4" t="inlineStr">
        <is>
          <t>Medicaid only</t>
        </is>
      </c>
      <c r="D4" t="inlineStr">
        <is>
          <t>Hybrid</t>
        </is>
      </c>
      <c r="E4" t="inlineStr">
        <is>
          <t>Percentage with an Outpatient Visit and Body Mass Index Percentile Documented in the Medical Record: Ages 3 to 17</t>
        </is>
      </c>
      <c r="F4" t="inlineStr">
        <is>
          <t>Higher values are better</t>
        </is>
      </c>
      <c r="G4" t="inlineStr">
        <is>
          <t>Mathematica analysis of the Quality Measure Reporting (QMR) system reports for the FFY 2021 reporting cycle as of June 1, 2023.</t>
        </is>
      </c>
      <c r="H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I4" s="4" t="n">
        <v>0.74</v>
      </c>
      <c r="J4" s="4" t="n">
        <v>0.71</v>
      </c>
      <c r="K4" s="4" t="n">
        <v>0.9399999999999999</v>
      </c>
      <c r="L4" s="4" t="n">
        <v>0.064</v>
      </c>
      <c r="M4" s="4" t="n">
        <v>0.612</v>
      </c>
      <c r="N4" s="4" t="n">
        <v>0.799</v>
      </c>
    </row>
    <row r="5">
      <c r="A5" t="inlineStr">
        <is>
          <t>Body Mass Index Percentile Documentation</t>
        </is>
      </c>
      <c r="B5" t="n">
        <v>2021</v>
      </c>
      <c r="C5" t="inlineStr">
        <is>
          <t>CHIP only</t>
        </is>
      </c>
      <c r="D5" t="inlineStr">
        <is>
          <t>Hybrid</t>
        </is>
      </c>
      <c r="E5" t="inlineStr">
        <is>
          <t>Percentage with an Outpatient Visit and Body Mass Index Percentile Documented in the Medical Record: Ages 3 to 17</t>
        </is>
      </c>
      <c r="F5" t="inlineStr">
        <is>
          <t>Higher values are better</t>
        </is>
      </c>
      <c r="G5" t="inlineStr">
        <is>
          <t>Mathematica analysis of the Quality Measure Reporting (QMR) system reports for the FFY 2021 reporting cycle as of June 1, 2023.</t>
        </is>
      </c>
      <c r="H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I5" s="4" t="n">
        <v>0.743</v>
      </c>
      <c r="J5" s="4" t="n">
        <v>0.71</v>
      </c>
      <c r="K5" s="4" t="n">
        <v>0.9399999999999999</v>
      </c>
      <c r="L5" s="4" t="n">
        <v>0.064</v>
      </c>
      <c r="M5" s="4" t="n">
        <v>0.612</v>
      </c>
      <c r="N5" s="4" t="n">
        <v>0.799</v>
      </c>
    </row>
    <row r="6">
      <c r="A6" t="inlineStr">
        <is>
          <t>Body Mass Index Percentile Documentation</t>
        </is>
      </c>
      <c r="B6" t="n">
        <v>2022</v>
      </c>
      <c r="C6" t="inlineStr">
        <is>
          <t>Medicaid only</t>
        </is>
      </c>
      <c r="D6" t="inlineStr">
        <is>
          <t>Hybrid</t>
        </is>
      </c>
      <c r="E6" t="inlineStr">
        <is>
          <t>Percentage with an Outpatient Visit and Body Mass Index Percentile Documented in the Medical Record: Ages 3 to 17</t>
        </is>
      </c>
      <c r="F6" t="inlineStr">
        <is>
          <t>Higher values are better</t>
        </is>
      </c>
      <c r="G6" t="inlineStr">
        <is>
          <t>Mathematica analysis of the Quality Measure Reporting (QMR) system reports for the FFY 2022 reporting cycle as of June 1, 2023.</t>
        </is>
      </c>
      <c r="H6" t="inlineStr">
        <is>
          <t>State-specific comments: Medicaid rates include managed care population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I6" s="4" t="n">
        <v>0.748</v>
      </c>
      <c r="J6" s="4" t="n">
        <v>0.719</v>
      </c>
      <c r="K6" s="4" t="n">
        <v>0.951</v>
      </c>
      <c r="L6" s="4" t="n">
        <v>0.053</v>
      </c>
      <c r="M6" s="4" t="n">
        <v>0.591</v>
      </c>
      <c r="N6" s="4" t="n">
        <v>0.8100000000000001</v>
      </c>
    </row>
    <row r="7">
      <c r="A7" t="inlineStr">
        <is>
          <t>Body Mass Index Percentile Documentation</t>
        </is>
      </c>
      <c r="B7" t="n">
        <v>2022</v>
      </c>
      <c r="C7" t="inlineStr">
        <is>
          <t>CHIP only</t>
        </is>
      </c>
      <c r="D7" t="inlineStr">
        <is>
          <t>Hybrid</t>
        </is>
      </c>
      <c r="E7" t="inlineStr">
        <is>
          <t>Percentage with an Outpatient Visit and Body Mass Index Percentile Documented in the Medical Record: Ages 3 to 17</t>
        </is>
      </c>
      <c r="F7" t="inlineStr">
        <is>
          <t>Higher values are better</t>
        </is>
      </c>
      <c r="G7" t="inlineStr">
        <is>
          <t>Mathematica analysis of the Quality Measure Reporting (QMR) system reports for the FFY 2022 reporting cycle as of June 1, 2023.</t>
        </is>
      </c>
      <c r="H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5,841. Rates were audited or validated.</t>
        </is>
      </c>
      <c r="I7" s="4" t="n">
        <v>0.753</v>
      </c>
      <c r="J7" s="4" t="n">
        <v>0.719</v>
      </c>
      <c r="K7" s="4" t="n">
        <v>0.951</v>
      </c>
      <c r="L7" s="4" t="n">
        <v>0.053</v>
      </c>
      <c r="M7" s="4" t="n">
        <v>0.591</v>
      </c>
      <c r="N7" s="4" t="n">
        <v>0.8100000000000001</v>
      </c>
    </row>
    <row r="8">
      <c r="A8" t="inlineStr">
        <is>
          <t>Body Mass Index Percentile Documentation</t>
        </is>
      </c>
      <c r="B8" t="n">
        <v>2023</v>
      </c>
      <c r="C8" t="inlineStr">
        <is>
          <t>Medicaid only</t>
        </is>
      </c>
      <c r="D8" t="inlineStr">
        <is>
          <t>Hybrid</t>
        </is>
      </c>
      <c r="E8" t="inlineStr">
        <is>
          <t>Percentage with an Outpatient Visit and Body Mass Index Percentile Documented in the Medical Record: Ages 3 to 17</t>
        </is>
      </c>
      <c r="F8" t="inlineStr">
        <is>
          <t>Higher values are better</t>
        </is>
      </c>
      <c r="G8" t="inlineStr">
        <is>
          <t>Mathematica analysis of the Quality Measure Reporting (QMR) system reports for the 2023 Core Set as of May 16, 2024.</t>
        </is>
      </c>
      <c r="H8" t="inlineStr">
        <is>
          <t>State-specific comments: Medicaid rates include managed care population (16 MCOs). State reported that rates exclude the following populations: "State of Texas Access Reform (STAR) Health and FFS, which make up only a small portion of the overall eligible population."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2,236,820. Rates were audited or validated.</t>
        </is>
      </c>
      <c r="I8" s="4" t="n">
        <v>0.786</v>
      </c>
      <c r="J8" s="4" t="n">
        <v>0.735</v>
      </c>
      <c r="K8" s="4" t="n">
        <v>0.978</v>
      </c>
      <c r="L8" s="4" t="n">
        <v>0.059</v>
      </c>
      <c r="M8" s="4" t="n">
        <v>0.599</v>
      </c>
      <c r="N8" s="4" t="n">
        <v>0.8149999999999999</v>
      </c>
    </row>
    <row r="9">
      <c r="A9" t="inlineStr">
        <is>
          <t>Body Mass Index Percentile Documentation</t>
        </is>
      </c>
      <c r="B9" t="n">
        <v>2023</v>
      </c>
      <c r="C9" t="inlineStr">
        <is>
          <t>CHIP only</t>
        </is>
      </c>
      <c r="D9" t="inlineStr">
        <is>
          <t>Hybrid</t>
        </is>
      </c>
      <c r="E9" t="inlineStr">
        <is>
          <t>Percentage with an Outpatient Visit and Body Mass Index Percentile Documented in the Medical Record: Ages 3 to 17</t>
        </is>
      </c>
      <c r="F9" t="inlineStr">
        <is>
          <t>Higher values are better</t>
        </is>
      </c>
      <c r="G9" t="inlineStr">
        <is>
          <t>Mathematica analysis of the Quality Measure Reporting (QMR) system reports for the 2023 Core Set as of May 16, 2024.</t>
        </is>
      </c>
      <c r="H9"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23,510. Rates were audited or validated.</t>
        </is>
      </c>
      <c r="I9" s="4" t="n">
        <v>0.793</v>
      </c>
      <c r="J9" s="4" t="n">
        <v>0.735</v>
      </c>
      <c r="K9" s="4" t="n">
        <v>0.978</v>
      </c>
      <c r="L9" s="4" t="n">
        <v>0.059</v>
      </c>
      <c r="M9" s="4" t="n">
        <v>0.599</v>
      </c>
      <c r="N9" s="4" t="n">
        <v>0.8149999999999999</v>
      </c>
    </row>
    <row r="10">
      <c r="A10" t="inlineStr">
        <is>
          <t>Body Mass Index Percentile Documentation</t>
        </is>
      </c>
      <c r="B10" t="n">
        <v>2024</v>
      </c>
      <c r="C10" t="inlineStr">
        <is>
          <t>Medicaid (Title XIX), Title XXI-funded Medicaid Expansion CHIP, Separate CHIP (Title XXI)</t>
        </is>
      </c>
      <c r="D10" t="inlineStr">
        <is>
          <t>Hybrid</t>
        </is>
      </c>
      <c r="E10" t="inlineStr">
        <is>
          <t>Percentage with an Outpatient Visit and Body Mass Index Percentile Documented in the Medical Record: Ages 3 to 17</t>
        </is>
      </c>
      <c r="F10" t="inlineStr">
        <is>
          <t>Higher values are better</t>
        </is>
      </c>
      <c r="G10" t="inlineStr">
        <is>
          <t>Mathematica analysis of the Quality Measure Reporting (QMR) system reports for the 2024 Core Set as of April 28, 2025.</t>
        </is>
      </c>
      <c r="H10" t="inlineStr">
        <is>
          <t>State-specific comments: Rate combines the Medicaid and separate CHIP data reported by the state in the QMR system. See Medicaid and separate CHIP state-specific comments for information about the data reported for each population.</t>
        </is>
      </c>
      <c r="I10" s="4" t="n">
        <v>0.825</v>
      </c>
      <c r="J10" s="4" t="n">
        <v>0.65</v>
      </c>
      <c r="K10" s="4" t="n">
        <v>0.972</v>
      </c>
      <c r="L10" s="4" t="n">
        <v>0.039</v>
      </c>
      <c r="M10" s="4" t="n">
        <v>0.253</v>
      </c>
      <c r="N10" s="4" t="n">
        <v>0.8</v>
      </c>
    </row>
    <row r="11">
      <c r="A11" t="inlineStr">
        <is>
          <t>Body Mass Index Percentile Documentation</t>
        </is>
      </c>
      <c r="B11" t="n">
        <v>2024</v>
      </c>
      <c r="C11" t="inlineStr">
        <is>
          <t>Medicaid (Title XIX), Title XXI-funded Medicaid Expansion CHIP</t>
        </is>
      </c>
      <c r="D11" t="inlineStr">
        <is>
          <t>Hybrid</t>
        </is>
      </c>
      <c r="E11" t="inlineStr">
        <is>
          <t>Percentage with an Outpatient Visit and Body Mass Index Percentile Documented in the Medical Record: Ages 3 to 17</t>
        </is>
      </c>
      <c r="F11" t="inlineStr">
        <is>
          <t>Higher values are better</t>
        </is>
      </c>
      <c r="G11" t="inlineStr">
        <is>
          <t>Mathematica analysis of the Quality Measure Reporting (QMR) system reports for the 2024 Core Set as of April 28, 2025.</t>
        </is>
      </c>
      <c r="H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0.824</v>
      </c>
      <c r="J11" s="4" t="n">
        <v>0.65</v>
      </c>
      <c r="K11" s="4" t="n">
        <v>0.972</v>
      </c>
      <c r="L11" s="4" t="n">
        <v>0.039</v>
      </c>
      <c r="M11" s="4" t="n">
        <v>0.253</v>
      </c>
      <c r="N11" s="4" t="n">
        <v>0.8</v>
      </c>
    </row>
    <row r="12">
      <c r="A12" t="inlineStr">
        <is>
          <t>Body Mass Index Percentile Documentation</t>
        </is>
      </c>
      <c r="B12" t="n">
        <v>2024</v>
      </c>
      <c r="C12" t="inlineStr">
        <is>
          <t>Separate CHIP (Title XXI)</t>
        </is>
      </c>
      <c r="D12" t="inlineStr">
        <is>
          <t>Hybrid</t>
        </is>
      </c>
      <c r="E12" t="inlineStr">
        <is>
          <t>Percentage with an Outpatient Visit and Body Mass Index Percentile Documented in the Medical Record: Ages 3 to 17</t>
        </is>
      </c>
      <c r="F12" t="inlineStr">
        <is>
          <t>Higher values are better</t>
        </is>
      </c>
      <c r="G12" t="inlineStr">
        <is>
          <t>Mathematica analysis of the Quality Measure Reporting (QMR) system reports for the 2024 Core Set as of April 28, 2025.</t>
        </is>
      </c>
      <c r="H1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s="4" t="n">
        <v>0.842</v>
      </c>
      <c r="J12" s="4" t="n">
        <v>0.65</v>
      </c>
      <c r="K12" s="4" t="n">
        <v>0.972</v>
      </c>
      <c r="L12" s="4" t="n">
        <v>0.039</v>
      </c>
      <c r="M12" s="4" t="n">
        <v>0.253</v>
      </c>
      <c r="N12" s="4" t="n">
        <v>0.8</v>
      </c>
    </row>
    <row r="13">
      <c r="A13" t="inlineStr">
        <is>
          <t>Counseling for Nutrition</t>
        </is>
      </c>
      <c r="B13" t="n">
        <v>2021</v>
      </c>
      <c r="C13" t="inlineStr">
        <is>
          <t>Medicaid only</t>
        </is>
      </c>
      <c r="D13" t="inlineStr">
        <is>
          <t>Hybrid</t>
        </is>
      </c>
      <c r="E13" t="inlineStr">
        <is>
          <t>Percentage with an Outpatient Visit and Counseling for Nutrition Documented in the Medical Record: Ages 3 to 17</t>
        </is>
      </c>
      <c r="F13" t="inlineStr">
        <is>
          <t>Higher values are better</t>
        </is>
      </c>
      <c r="G13" t="inlineStr">
        <is>
          <t>Mathematica analysis of the Quality Measure Reporting (QMR) system reports for the FFY 2021 reporting cycle as of June 1, 2023.</t>
        </is>
      </c>
      <c r="H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I13" s="4" t="n">
        <v>0.718</v>
      </c>
      <c r="J13" s="4" t="n">
        <v>0.657</v>
      </c>
      <c r="K13" s="4" t="n">
        <v>0.822</v>
      </c>
      <c r="L13" s="4" t="n">
        <v>0.03</v>
      </c>
      <c r="M13" s="4" t="n">
        <v>0.535</v>
      </c>
      <c r="N13" s="4" t="n">
        <v>0.752</v>
      </c>
    </row>
    <row r="14">
      <c r="A14" t="inlineStr">
        <is>
          <t>Counseling for Nutrition</t>
        </is>
      </c>
      <c r="B14" t="n">
        <v>2021</v>
      </c>
      <c r="C14" t="inlineStr">
        <is>
          <t>CHIP only</t>
        </is>
      </c>
      <c r="D14" t="inlineStr">
        <is>
          <t>Hybrid</t>
        </is>
      </c>
      <c r="E14" t="inlineStr">
        <is>
          <t>Percentage with an Outpatient Visit and Counseling for Nutrition Documented in the Medical Record: Ages 3 to 17</t>
        </is>
      </c>
      <c r="F14" t="inlineStr">
        <is>
          <t>Higher values are better</t>
        </is>
      </c>
      <c r="G14" t="inlineStr">
        <is>
          <t>Mathematica analysis of the Quality Measure Reporting (QMR) system reports for the FFY 2021 reporting cycle as of June 1, 2023.</t>
        </is>
      </c>
      <c r="H1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I14" s="4" t="n">
        <v>0.728</v>
      </c>
      <c r="J14" s="4" t="n">
        <v>0.657</v>
      </c>
      <c r="K14" s="4" t="n">
        <v>0.822</v>
      </c>
      <c r="L14" s="4" t="n">
        <v>0.03</v>
      </c>
      <c r="M14" s="4" t="n">
        <v>0.535</v>
      </c>
      <c r="N14" s="4" t="n">
        <v>0.752</v>
      </c>
    </row>
    <row r="15">
      <c r="A15" t="inlineStr">
        <is>
          <t>Counseling for Nutrition</t>
        </is>
      </c>
      <c r="B15" t="n">
        <v>2022</v>
      </c>
      <c r="C15" t="inlineStr">
        <is>
          <t>Medicaid only</t>
        </is>
      </c>
      <c r="D15" t="inlineStr">
        <is>
          <t>Hybrid</t>
        </is>
      </c>
      <c r="E15" t="inlineStr">
        <is>
          <t>Percentage with an Outpatient Visit and Counseling for Nutrition Documented in the Medical Record: Ages 3 to 17</t>
        </is>
      </c>
      <c r="F15" t="inlineStr">
        <is>
          <t>Higher values are better</t>
        </is>
      </c>
      <c r="G15" t="inlineStr">
        <is>
          <t>Mathematica analysis of the Quality Measure Reporting (QMR) system reports for the FFY 2022 reporting cycle as of June 1, 2023.</t>
        </is>
      </c>
      <c r="H15" t="inlineStr">
        <is>
          <t>State-specific comments: Medicaid rates include managed care population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I15" s="4" t="n">
        <v>0.735</v>
      </c>
      <c r="J15" s="4" t="n">
        <v>0.636</v>
      </c>
      <c r="K15" s="4" t="n">
        <v>0.842</v>
      </c>
      <c r="L15" s="4" t="n">
        <v>0.012</v>
      </c>
      <c r="M15" s="4" t="n">
        <v>0.367</v>
      </c>
      <c r="N15" s="4" t="n">
        <v>0.743</v>
      </c>
    </row>
    <row r="16">
      <c r="A16" t="inlineStr">
        <is>
          <t>Counseling for Nutrition</t>
        </is>
      </c>
      <c r="B16" t="n">
        <v>2022</v>
      </c>
      <c r="C16" t="inlineStr">
        <is>
          <t>CHIP only</t>
        </is>
      </c>
      <c r="D16" t="inlineStr">
        <is>
          <t>Hybrid</t>
        </is>
      </c>
      <c r="E16" t="inlineStr">
        <is>
          <t>Percentage with an Outpatient Visit and Counseling for Nutrition Documented in the Medical Record: Ages 3 to 17</t>
        </is>
      </c>
      <c r="F16" t="inlineStr">
        <is>
          <t>Higher values are better</t>
        </is>
      </c>
      <c r="G16" t="inlineStr">
        <is>
          <t>Mathematica analysis of the Quality Measure Reporting (QMR) system reports for the FFY 2022 reporting cycle as of June 1, 2023.</t>
        </is>
      </c>
      <c r="H16"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5,841. Rates were audited or validated.</t>
        </is>
      </c>
      <c r="I16" s="4" t="n">
        <v>0.734</v>
      </c>
      <c r="J16" s="4" t="n">
        <v>0.636</v>
      </c>
      <c r="K16" s="4" t="n">
        <v>0.842</v>
      </c>
      <c r="L16" s="4" t="n">
        <v>0.012</v>
      </c>
      <c r="M16" s="4" t="n">
        <v>0.367</v>
      </c>
      <c r="N16" s="4" t="n">
        <v>0.743</v>
      </c>
    </row>
    <row r="17">
      <c r="A17" t="inlineStr">
        <is>
          <t>Counseling for Nutrition</t>
        </is>
      </c>
      <c r="B17" t="n">
        <v>2023</v>
      </c>
      <c r="C17" t="inlineStr">
        <is>
          <t>Medicaid only</t>
        </is>
      </c>
      <c r="D17" t="inlineStr">
        <is>
          <t>Hybrid</t>
        </is>
      </c>
      <c r="E17" t="inlineStr">
        <is>
          <t>Percentage with an Outpatient Visit and Counseling for Nutrition Documented in the Medical Record: Ages 3 to 17</t>
        </is>
      </c>
      <c r="F17" t="inlineStr">
        <is>
          <t>Higher values are better</t>
        </is>
      </c>
      <c r="G17" t="inlineStr">
        <is>
          <t>Mathematica analysis of the Quality Measure Reporting (QMR) system reports for the 2023 Core Set as of May 16, 2024.</t>
        </is>
      </c>
      <c r="H17" t="inlineStr">
        <is>
          <t>State-specific comments: Medicaid rates include managed care population (16 MCOs). State reported that rates exclude the following populations: "State of Texas Access Reform (STAR) Health and FFS, which make up only a small portion of the overall eligible population."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2,236,820. Rates were audited or validated.</t>
        </is>
      </c>
      <c r="I17" s="4" t="n">
        <v>0.748</v>
      </c>
      <c r="J17" s="4" t="n">
        <v>0.635</v>
      </c>
      <c r="K17" s="4" t="n">
        <v>0.84</v>
      </c>
      <c r="L17" s="4" t="n">
        <v>0.01</v>
      </c>
      <c r="M17" s="4" t="n">
        <v>0.372</v>
      </c>
      <c r="N17" s="4" t="n">
        <v>0.735</v>
      </c>
    </row>
    <row r="18">
      <c r="A18" t="inlineStr">
        <is>
          <t>Counseling for Nutrition</t>
        </is>
      </c>
      <c r="B18" t="n">
        <v>2023</v>
      </c>
      <c r="C18" t="inlineStr">
        <is>
          <t>CHIP only</t>
        </is>
      </c>
      <c r="D18" t="inlineStr">
        <is>
          <t>Hybrid</t>
        </is>
      </c>
      <c r="E18" t="inlineStr">
        <is>
          <t>Percentage with an Outpatient Visit and Counseling for Nutrition Documented in the Medical Record: Ages 3 to 17</t>
        </is>
      </c>
      <c r="F18" t="inlineStr">
        <is>
          <t>Higher values are better</t>
        </is>
      </c>
      <c r="G18" t="inlineStr">
        <is>
          <t>Mathematica analysis of the Quality Measure Reporting (QMR) system reports for the 2023 Core Set as of May 16, 2024.</t>
        </is>
      </c>
      <c r="H18"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23,510. Rates were audited or validated.</t>
        </is>
      </c>
      <c r="I18" s="4" t="n">
        <v>0.761</v>
      </c>
      <c r="J18" s="4" t="n">
        <v>0.635</v>
      </c>
      <c r="K18" s="4" t="n">
        <v>0.84</v>
      </c>
      <c r="L18" s="4" t="n">
        <v>0.01</v>
      </c>
      <c r="M18" s="4" t="n">
        <v>0.372</v>
      </c>
      <c r="N18" s="4" t="n">
        <v>0.735</v>
      </c>
    </row>
    <row r="19">
      <c r="A19" t="inlineStr">
        <is>
          <t>Counseling for Nutrition</t>
        </is>
      </c>
      <c r="B19" t="n">
        <v>2024</v>
      </c>
      <c r="C19" t="inlineStr">
        <is>
          <t>Medicaid (Title XIX), Title XXI-funded Medicaid Expansion CHIP, Separate CHIP (Title XXI)</t>
        </is>
      </c>
      <c r="D19" t="inlineStr">
        <is>
          <t>Hybrid</t>
        </is>
      </c>
      <c r="E19" t="inlineStr">
        <is>
          <t>Percentage with an Outpatient Visit and Counseling for Nutrition Documented in the Medical Record: Ages 3 to 17</t>
        </is>
      </c>
      <c r="F19" t="inlineStr">
        <is>
          <t>Higher values are better</t>
        </is>
      </c>
      <c r="G19" t="inlineStr">
        <is>
          <t>Mathematica analysis of the Quality Measure Reporting (QMR) system reports for the 2024 Core Set as of April 28, 2025.</t>
        </is>
      </c>
      <c r="H19" t="inlineStr">
        <is>
          <t>State-specific comments: Rate combines the Medicaid and separate CHIP data reported by the state in the QMR system. See Medicaid and separate CHIP state-specific comments for information about the data reported for each population.</t>
        </is>
      </c>
      <c r="I19" s="4" t="n">
        <v>0.766</v>
      </c>
      <c r="J19" s="4" t="n">
        <v>0.394</v>
      </c>
      <c r="K19" s="4" t="n">
        <v>0.88</v>
      </c>
      <c r="L19" s="4" t="n">
        <v>0.004</v>
      </c>
      <c r="M19" s="4" t="n">
        <v>0.141</v>
      </c>
      <c r="N19" s="4" t="n">
        <v>0.727</v>
      </c>
    </row>
    <row r="20">
      <c r="A20" t="inlineStr">
        <is>
          <t>Counseling for Nutrition</t>
        </is>
      </c>
      <c r="B20" t="n">
        <v>2024</v>
      </c>
      <c r="C20" t="inlineStr">
        <is>
          <t>Medicaid (Title XIX), Title XXI-funded Medicaid Expansion CHIP</t>
        </is>
      </c>
      <c r="D20" t="inlineStr">
        <is>
          <t>Hybrid</t>
        </is>
      </c>
      <c r="E20" t="inlineStr">
        <is>
          <t>Percentage with an Outpatient Visit and Counseling for Nutrition Documented in the Medical Record: Ages 3 to 17</t>
        </is>
      </c>
      <c r="F20" t="inlineStr">
        <is>
          <t>Higher values are better</t>
        </is>
      </c>
      <c r="G20" t="inlineStr">
        <is>
          <t>Mathematica analysis of the Quality Measure Reporting (QMR) system reports for the 2024 Core Set as of April 28, 2025.</t>
        </is>
      </c>
      <c r="H2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0" s="4" t="n">
        <v>0.765</v>
      </c>
      <c r="J20" s="4" t="n">
        <v>0.394</v>
      </c>
      <c r="K20" s="4" t="n">
        <v>0.88</v>
      </c>
      <c r="L20" s="4" t="n">
        <v>0.004</v>
      </c>
      <c r="M20" s="4" t="n">
        <v>0.141</v>
      </c>
      <c r="N20" s="4" t="n">
        <v>0.727</v>
      </c>
    </row>
    <row r="21">
      <c r="A21" t="inlineStr">
        <is>
          <t>Counseling for Nutrition</t>
        </is>
      </c>
      <c r="B21" t="n">
        <v>2024</v>
      </c>
      <c r="C21" t="inlineStr">
        <is>
          <t>Separate CHIP (Title XXI)</t>
        </is>
      </c>
      <c r="D21" t="inlineStr">
        <is>
          <t>Hybrid</t>
        </is>
      </c>
      <c r="E21" t="inlineStr">
        <is>
          <t>Percentage with an Outpatient Visit and Counseling for Nutrition Documented in the Medical Record: Ages 3 to 17</t>
        </is>
      </c>
      <c r="F21" t="inlineStr">
        <is>
          <t>Higher values are better</t>
        </is>
      </c>
      <c r="G21" t="inlineStr">
        <is>
          <t>Mathematica analysis of the Quality Measure Reporting (QMR) system reports for the 2024 Core Set as of April 28, 2025.</t>
        </is>
      </c>
      <c r="H21"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1" s="4" t="n">
        <v>0.804</v>
      </c>
      <c r="J21" s="4" t="n">
        <v>0.394</v>
      </c>
      <c r="K21" s="4" t="n">
        <v>0.88</v>
      </c>
      <c r="L21" s="4" t="n">
        <v>0.004</v>
      </c>
      <c r="M21" s="4" t="n">
        <v>0.141</v>
      </c>
      <c r="N21" s="4" t="n">
        <v>0.727</v>
      </c>
    </row>
    <row r="22">
      <c r="A22" t="inlineStr">
        <is>
          <t>Counseling for Physical Activity</t>
        </is>
      </c>
      <c r="B22" t="n">
        <v>2021</v>
      </c>
      <c r="C22" t="inlineStr">
        <is>
          <t>Medicaid only</t>
        </is>
      </c>
      <c r="D22" t="inlineStr">
        <is>
          <t>Hybrid</t>
        </is>
      </c>
      <c r="E22" t="inlineStr">
        <is>
          <t>Percentage with an Outpatient Visit and Counseling for Physical Activity Documented in the Medical Record: Ages 3 to 17</t>
        </is>
      </c>
      <c r="F22" t="inlineStr">
        <is>
          <t>Higher values are better</t>
        </is>
      </c>
      <c r="G22" t="inlineStr">
        <is>
          <t>Mathematica analysis of the Quality Measure Reporting (QMR) system reports for the FFY 2021 reporting cycle as of June 1, 2023.</t>
        </is>
      </c>
      <c r="H22"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I22" s="4" t="n">
        <v>0.68</v>
      </c>
      <c r="J22" s="4" t="n">
        <v>0.603</v>
      </c>
      <c r="K22" s="4" t="n">
        <v>0.792</v>
      </c>
      <c r="L22" s="4" t="n">
        <v>0.027</v>
      </c>
      <c r="M22" s="4" t="n">
        <v>0.5</v>
      </c>
      <c r="N22" s="4" t="n">
        <v>0.715</v>
      </c>
    </row>
    <row r="23">
      <c r="A23" t="inlineStr">
        <is>
          <t>Counseling for Physical Activity</t>
        </is>
      </c>
      <c r="B23" t="n">
        <v>2021</v>
      </c>
      <c r="C23" t="inlineStr">
        <is>
          <t>CHIP only</t>
        </is>
      </c>
      <c r="D23" t="inlineStr">
        <is>
          <t>Hybrid</t>
        </is>
      </c>
      <c r="E23" t="inlineStr">
        <is>
          <t>Percentage with an Outpatient Visit and Counseling for Physical Activity Documented in the Medical Record: Ages 3 to 17</t>
        </is>
      </c>
      <c r="F23" t="inlineStr">
        <is>
          <t>Higher values are better</t>
        </is>
      </c>
      <c r="G23" t="inlineStr">
        <is>
          <t>Mathematica analysis of the Quality Measure Reporting (QMR) system reports for the FFY 2021 reporting cycle as of June 1, 2023.</t>
        </is>
      </c>
      <c r="H23"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I23" s="4" t="n">
        <v>0.6889999999999999</v>
      </c>
      <c r="J23" s="4" t="n">
        <v>0.603</v>
      </c>
      <c r="K23" s="4" t="n">
        <v>0.792</v>
      </c>
      <c r="L23" s="4" t="n">
        <v>0.027</v>
      </c>
      <c r="M23" s="4" t="n">
        <v>0.5</v>
      </c>
      <c r="N23" s="4" t="n">
        <v>0.715</v>
      </c>
    </row>
    <row r="24">
      <c r="A24" t="inlineStr">
        <is>
          <t>Counseling for Physical Activity</t>
        </is>
      </c>
      <c r="B24" t="n">
        <v>2022</v>
      </c>
      <c r="C24" t="inlineStr">
        <is>
          <t>Medicaid only</t>
        </is>
      </c>
      <c r="D24" t="inlineStr">
        <is>
          <t>Hybrid</t>
        </is>
      </c>
      <c r="E24" t="inlineStr">
        <is>
          <t>Percentage with an Outpatient Visit and Counseling for Physical Activity Documented in the Medical Record: Ages 3 to 17</t>
        </is>
      </c>
      <c r="F24" t="inlineStr">
        <is>
          <t>Higher values are better</t>
        </is>
      </c>
      <c r="G24" t="inlineStr">
        <is>
          <t>Mathematica analysis of the Quality Measure Reporting (QMR) system reports for the FFY 2022 reporting cycle as of June 1, 2023.</t>
        </is>
      </c>
      <c r="H24" t="inlineStr">
        <is>
          <t>State-specific comments: Medicaid rates include managed care population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measure-eligible population. Rates were audited or validated.</t>
        </is>
      </c>
      <c r="I24" s="4" t="n">
        <v>0.7</v>
      </c>
      <c r="J24" s="4" t="n">
        <v>0.584</v>
      </c>
      <c r="K24" s="4" t="n">
        <v>0.803</v>
      </c>
      <c r="L24" s="4" t="n">
        <v>0.031</v>
      </c>
      <c r="M24" s="4" t="n">
        <v>0.355</v>
      </c>
      <c r="N24" s="4" t="n">
        <v>0.716</v>
      </c>
    </row>
    <row r="25">
      <c r="A25" t="inlineStr">
        <is>
          <t>Counseling for Physical Activity</t>
        </is>
      </c>
      <c r="B25" t="n">
        <v>2022</v>
      </c>
      <c r="C25" t="inlineStr">
        <is>
          <t>CHIP only</t>
        </is>
      </c>
      <c r="D25" t="inlineStr">
        <is>
          <t>Hybrid</t>
        </is>
      </c>
      <c r="E25" t="inlineStr">
        <is>
          <t>Percentage with an Outpatient Visit and Counseling for Physical Activity Documented in the Medical Record: Ages 3 to 17</t>
        </is>
      </c>
      <c r="F25" t="inlineStr">
        <is>
          <t>Higher values are better</t>
        </is>
      </c>
      <c r="G25" t="inlineStr">
        <is>
          <t>Mathematica analysis of the Quality Measure Reporting (QMR) system reports for the FFY 2022 reporting cycle as of June 1, 2023.</t>
        </is>
      </c>
      <c r="H2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5,841. Rates were audited or validated.</t>
        </is>
      </c>
      <c r="I25" s="4" t="n">
        <v>0.708</v>
      </c>
      <c r="J25" s="4" t="n">
        <v>0.584</v>
      </c>
      <c r="K25" s="4" t="n">
        <v>0.803</v>
      </c>
      <c r="L25" s="4" t="n">
        <v>0.031</v>
      </c>
      <c r="M25" s="4" t="n">
        <v>0.355</v>
      </c>
      <c r="N25" s="4" t="n">
        <v>0.716</v>
      </c>
    </row>
    <row r="26">
      <c r="A26" t="inlineStr">
        <is>
          <t>Counseling for Physical Activity</t>
        </is>
      </c>
      <c r="B26" t="n">
        <v>2023</v>
      </c>
      <c r="C26" t="inlineStr">
        <is>
          <t>Medicaid only</t>
        </is>
      </c>
      <c r="D26" t="inlineStr">
        <is>
          <t>Hybrid</t>
        </is>
      </c>
      <c r="E26" t="inlineStr">
        <is>
          <t>Percentage with an Outpatient Visit and Counseling for Physical Activity Documented in the Medical Record: Ages 3 to 17</t>
        </is>
      </c>
      <c r="F26" t="inlineStr">
        <is>
          <t>Higher values are better</t>
        </is>
      </c>
      <c r="G26" t="inlineStr">
        <is>
          <t>Mathematica analysis of the Quality Measure Reporting (QMR) system reports for the 2023 Core Set as of May 16, 2024.</t>
        </is>
      </c>
      <c r="H26" t="inlineStr">
        <is>
          <t>State-specific comments: Medicaid rates include managed care population (16 MCOs). State reported that rates exclude the following populations: "State of Texas Access Reform (STAR) Health and FFS, which make up only a small portion of the overall eligible population."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2,236,820. Rates were audited or validated.</t>
        </is>
      </c>
      <c r="I26" s="4" t="n">
        <v>0.727</v>
      </c>
      <c r="J26" s="4" t="n">
        <v>0.599</v>
      </c>
      <c r="K26" s="4" t="n">
        <v>0.827</v>
      </c>
      <c r="L26" s="4" t="n">
        <v>0.012</v>
      </c>
      <c r="M26" s="4" t="n">
        <v>0.33</v>
      </c>
      <c r="N26" s="4" t="n">
        <v>0.708</v>
      </c>
    </row>
    <row r="27">
      <c r="A27" t="inlineStr">
        <is>
          <t>Counseling for Physical Activity</t>
        </is>
      </c>
      <c r="B27" t="n">
        <v>2023</v>
      </c>
      <c r="C27" t="inlineStr">
        <is>
          <t>CHIP only</t>
        </is>
      </c>
      <c r="D27" t="inlineStr">
        <is>
          <t>Hybrid</t>
        </is>
      </c>
      <c r="E27" t="inlineStr">
        <is>
          <t>Percentage with an Outpatient Visit and Counseling for Physical Activity Documented in the Medical Record: Ages 3 to 17</t>
        </is>
      </c>
      <c r="F27" t="inlineStr">
        <is>
          <t>Higher values are better</t>
        </is>
      </c>
      <c r="G27" t="inlineStr">
        <is>
          <t>Mathematica analysis of the Quality Measure Reporting (QMR) system reports for the 2023 Core Set as of May 16, 2024.</t>
        </is>
      </c>
      <c r="H2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23,510. Rates were audited or validated.</t>
        </is>
      </c>
      <c r="I27" s="4" t="n">
        <v>0.748</v>
      </c>
      <c r="J27" s="4" t="n">
        <v>0.599</v>
      </c>
      <c r="K27" s="4" t="n">
        <v>0.827</v>
      </c>
      <c r="L27" s="4" t="n">
        <v>0.012</v>
      </c>
      <c r="M27" s="4" t="n">
        <v>0.33</v>
      </c>
      <c r="N27" s="4" t="n">
        <v>0.708</v>
      </c>
    </row>
    <row r="28">
      <c r="A28" t="inlineStr">
        <is>
          <t>Counseling for Physical Activity</t>
        </is>
      </c>
      <c r="B28" t="n">
        <v>2024</v>
      </c>
      <c r="C28" t="inlineStr">
        <is>
          <t>Medicaid (Title XIX), Title XXI-funded Medicaid Expansion CHIP, Separate CHIP (Title XXI)</t>
        </is>
      </c>
      <c r="D28" t="inlineStr">
        <is>
          <t>Hybrid</t>
        </is>
      </c>
      <c r="E28" t="inlineStr">
        <is>
          <t>Percentage with an Outpatient Visit and Counseling for Physical Activity Documented in the Medical Record: Ages 3 to 17</t>
        </is>
      </c>
      <c r="F28" t="inlineStr">
        <is>
          <t>Higher values are better</t>
        </is>
      </c>
      <c r="G28" t="inlineStr">
        <is>
          <t>Mathematica analysis of the Quality Measure Reporting (QMR) system reports for the 2024 Core Set as of April 28, 2025.</t>
        </is>
      </c>
      <c r="H28" t="inlineStr">
        <is>
          <t>State-specific comments: Rate combines the Medicaid and separate CHIP data reported by the state in the QMR system. See Medicaid and separate CHIP state-specific comments for information about the data reported for each population.</t>
        </is>
      </c>
      <c r="I28" s="4" t="n">
        <v>0.739</v>
      </c>
      <c r="J28" s="4" t="n">
        <v>0.38</v>
      </c>
      <c r="K28" s="4" t="n">
        <v>0.838</v>
      </c>
      <c r="L28" s="4" t="n">
        <v>0.008999999999999999</v>
      </c>
      <c r="M28" s="4" t="n">
        <v>0.108</v>
      </c>
      <c r="N28" s="4" t="n">
        <v>0.696</v>
      </c>
    </row>
    <row r="29">
      <c r="A29" t="inlineStr">
        <is>
          <t>Counseling for Physical Activity</t>
        </is>
      </c>
      <c r="B29" t="n">
        <v>2024</v>
      </c>
      <c r="C29" t="inlineStr">
        <is>
          <t>Medicaid (Title XIX), Title XXI-funded Medicaid Expansion CHIP</t>
        </is>
      </c>
      <c r="D29" t="inlineStr">
        <is>
          <t>Hybrid</t>
        </is>
      </c>
      <c r="E29" t="inlineStr">
        <is>
          <t>Percentage with an Outpatient Visit and Counseling for Physical Activity Documented in the Medical Record: Ages 3 to 17</t>
        </is>
      </c>
      <c r="F29" t="inlineStr">
        <is>
          <t>Higher values are better</t>
        </is>
      </c>
      <c r="G29" t="inlineStr">
        <is>
          <t>Mathematica analysis of the Quality Measure Reporting (QMR) system reports for the 2024 Core Set as of April 28, 2025.</t>
        </is>
      </c>
      <c r="H29"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9" s="4" t="n">
        <v>0.737</v>
      </c>
      <c r="J29" s="4" t="n">
        <v>0.38</v>
      </c>
      <c r="K29" s="4" t="n">
        <v>0.838</v>
      </c>
      <c r="L29" s="4" t="n">
        <v>0.008999999999999999</v>
      </c>
      <c r="M29" s="4" t="n">
        <v>0.108</v>
      </c>
      <c r="N29" s="4" t="n">
        <v>0.696</v>
      </c>
    </row>
    <row r="30">
      <c r="A30" t="inlineStr">
        <is>
          <t>Counseling for Physical Activity</t>
        </is>
      </c>
      <c r="B30" t="n">
        <v>2024</v>
      </c>
      <c r="C30" t="inlineStr">
        <is>
          <t>Separate CHIP (Title XXI)</t>
        </is>
      </c>
      <c r="D30" t="inlineStr">
        <is>
          <t>Hybrid</t>
        </is>
      </c>
      <c r="E30" t="inlineStr">
        <is>
          <t>Percentage with an Outpatient Visit and Counseling for Physical Activity Documented in the Medical Record: Ages 3 to 17</t>
        </is>
      </c>
      <c r="F30" t="inlineStr">
        <is>
          <t>Higher values are better</t>
        </is>
      </c>
      <c r="G30" t="inlineStr">
        <is>
          <t>Mathematica analysis of the Quality Measure Reporting (QMR) system reports for the 2024 Core Set as of April 28, 2025.</t>
        </is>
      </c>
      <c r="H30"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30" s="4" t="n">
        <v>0.784</v>
      </c>
      <c r="J30" s="4" t="n">
        <v>0.38</v>
      </c>
      <c r="K30" s="4" t="n">
        <v>0.838</v>
      </c>
      <c r="L30" s="4" t="n">
        <v>0.008999999999999999</v>
      </c>
      <c r="M30" s="4" t="n">
        <v>0.108</v>
      </c>
      <c r="N30" s="4" t="n">
        <v>0.696</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27" customWidth="1" min="1" max="1"/>
    <col width="13" customWidth="1" min="2" max="2"/>
    <col width="60" customWidth="1" min="3" max="3"/>
    <col width="16" customWidth="1" min="4" max="4"/>
    <col width="60" customWidth="1" min="5" max="5"/>
    <col width="26" customWidth="1" min="6" max="6"/>
    <col width="60" customWidth="1" min="7" max="7"/>
    <col width="60" customWidth="1" min="8" max="8"/>
    <col width="1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Well-Child Visits in the First 30 Months of Life (W30-CH)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2+ Visits 15 to 30 months</t>
        </is>
      </c>
      <c r="B4" t="n">
        <v>2021</v>
      </c>
      <c r="C4" t="inlineStr">
        <is>
          <t>Medicaid only</t>
        </is>
      </c>
      <c r="D4" t="inlineStr">
        <is>
          <t>Administrative</t>
        </is>
      </c>
      <c r="E4" t="inlineStr">
        <is>
          <t>Percentage who had 2 or More Well-Child Visits with a Primary Care Practitioner during the 15th to 30th Months of Life</t>
        </is>
      </c>
      <c r="F4" t="inlineStr">
        <is>
          <t>Higher values are better</t>
        </is>
      </c>
      <c r="G4" t="inlineStr">
        <is>
          <t>Mathematica analysis of the Quality Measure Reporting (QMR) system reports for the FFY 2021 reporting cycle as of June 1, 2023.</t>
        </is>
      </c>
      <c r="H4"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4" s="4" t="n">
        <v>0.762</v>
      </c>
      <c r="J4" s="4" t="n">
        <v>0.6919999999999999</v>
      </c>
      <c r="K4" s="4" t="n">
        <v>0.867</v>
      </c>
      <c r="L4" s="4" t="n">
        <v>0.403</v>
      </c>
      <c r="M4" s="4" t="n">
        <v>0.665</v>
      </c>
      <c r="N4" s="4" t="n">
        <v>0.761</v>
      </c>
    </row>
    <row r="5">
      <c r="A5" t="inlineStr">
        <is>
          <t>2+ Visits 15 to 30 months</t>
        </is>
      </c>
      <c r="B5" t="n">
        <v>2021</v>
      </c>
      <c r="C5" t="inlineStr">
        <is>
          <t>CHIP only</t>
        </is>
      </c>
      <c r="D5" t="inlineStr">
        <is>
          <t>Administrative</t>
        </is>
      </c>
      <c r="E5" t="inlineStr">
        <is>
          <t>Percentage who had 2 or More Well-Child Visits with a Primary Care Practitioner during the 15th to 30th Months of Life</t>
        </is>
      </c>
      <c r="F5" t="inlineStr">
        <is>
          <t>Higher values are better</t>
        </is>
      </c>
      <c r="G5" t="inlineStr">
        <is>
          <t>Mathematica analysis of the Quality Measure Reporting (QMR) system reports for the FFY 2021 reporting cycle as of June 1, 2023.</t>
        </is>
      </c>
      <c r="H5"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5" s="4" t="n">
        <v>0.831</v>
      </c>
      <c r="J5" s="4" t="n">
        <v>0.6919999999999999</v>
      </c>
      <c r="K5" s="4" t="n">
        <v>0.867</v>
      </c>
      <c r="L5" s="4" t="n">
        <v>0.403</v>
      </c>
      <c r="M5" s="4" t="n">
        <v>0.665</v>
      </c>
      <c r="N5" s="4" t="n">
        <v>0.761</v>
      </c>
    </row>
    <row r="6">
      <c r="A6" t="inlineStr">
        <is>
          <t>2+ Visits 15 to 30 months</t>
        </is>
      </c>
      <c r="B6" t="n">
        <v>2022</v>
      </c>
      <c r="C6" t="inlineStr">
        <is>
          <t>Medicaid only</t>
        </is>
      </c>
      <c r="D6" t="inlineStr">
        <is>
          <t>Administrative</t>
        </is>
      </c>
      <c r="E6" t="inlineStr">
        <is>
          <t>Percentage who had 2 or More Well-Child Visits with a Primary Care Practitioner during the 15th to 30th Months of Life</t>
        </is>
      </c>
      <c r="F6" t="inlineStr">
        <is>
          <t>Higher values are better</t>
        </is>
      </c>
      <c r="G6" t="inlineStr">
        <is>
          <t>Mathematica analysis of the Quality Measure Reporting (QMR) system reports for the FFY 2022 reporting cycle as of June 1, 2023.</t>
        </is>
      </c>
      <c r="H6"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6" s="4" t="n">
        <v>0.703</v>
      </c>
      <c r="J6" s="4" t="n">
        <v>0.651</v>
      </c>
      <c r="K6" s="4" t="n">
        <v>0.823</v>
      </c>
      <c r="L6" s="4" t="n">
        <v>0.365</v>
      </c>
      <c r="M6" s="4" t="n">
        <v>0.604</v>
      </c>
      <c r="N6" s="4" t="n">
        <v>0.716</v>
      </c>
    </row>
    <row r="7">
      <c r="A7" t="inlineStr">
        <is>
          <t>2+ Visits 15 to 30 months</t>
        </is>
      </c>
      <c r="B7" t="n">
        <v>2022</v>
      </c>
      <c r="C7" t="inlineStr">
        <is>
          <t>CHIP only</t>
        </is>
      </c>
      <c r="D7" t="inlineStr">
        <is>
          <t>Administrative</t>
        </is>
      </c>
      <c r="E7" t="inlineStr">
        <is>
          <t>Percentage who had 2 or More Well-Child Visits with a Primary Care Practitioner during the 15th to 30th Months of Life</t>
        </is>
      </c>
      <c r="F7" t="inlineStr">
        <is>
          <t>Higher values are better</t>
        </is>
      </c>
      <c r="G7" t="inlineStr">
        <is>
          <t>Mathematica analysis of the Quality Measure Reporting (QMR) system reports for the FFY 2022 reporting cycle as of June 1, 2023.</t>
        </is>
      </c>
      <c r="H7"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7" s="4" t="n">
        <v>0.79</v>
      </c>
      <c r="J7" s="4" t="n">
        <v>0.651</v>
      </c>
      <c r="K7" s="4" t="n">
        <v>0.823</v>
      </c>
      <c r="L7" s="4" t="n">
        <v>0.365</v>
      </c>
      <c r="M7" s="4" t="n">
        <v>0.604</v>
      </c>
      <c r="N7" s="4" t="n">
        <v>0.716</v>
      </c>
    </row>
    <row r="8">
      <c r="A8" t="inlineStr">
        <is>
          <t>2+ Visits 15 to 30 months</t>
        </is>
      </c>
      <c r="B8" t="n">
        <v>2023</v>
      </c>
      <c r="C8" t="inlineStr">
        <is>
          <t>Medicaid only</t>
        </is>
      </c>
      <c r="D8" t="inlineStr">
        <is>
          <t>Administrative</t>
        </is>
      </c>
      <c r="E8" t="inlineStr">
        <is>
          <t>Percentage of Children who had 2 or More Well-Child Visits with a Primary Care Practitioner during the 15th to 30th Months of Life</t>
        </is>
      </c>
      <c r="F8" t="inlineStr">
        <is>
          <t>Higher values are better</t>
        </is>
      </c>
      <c r="G8" t="inlineStr">
        <is>
          <t>Mathematica analysis of the Quality Measure Reporting (QMR) system reports for the 2023 Core Set as of May 16, 2024.</t>
        </is>
      </c>
      <c r="H8"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8" s="4" t="n">
        <v>0.6870000000000001</v>
      </c>
      <c r="J8" s="4" t="n">
        <v>0.648</v>
      </c>
      <c r="K8" s="4" t="n">
        <v>0.828</v>
      </c>
      <c r="L8" s="4" t="n">
        <v>0.238</v>
      </c>
      <c r="M8" s="4" t="n">
        <v>0.608</v>
      </c>
      <c r="N8" s="4" t="n">
        <v>0.705</v>
      </c>
    </row>
    <row r="9">
      <c r="A9" t="inlineStr">
        <is>
          <t>2+ Visits 15 to 30 months</t>
        </is>
      </c>
      <c r="B9" t="n">
        <v>2023</v>
      </c>
      <c r="C9" t="inlineStr">
        <is>
          <t>CHIP only</t>
        </is>
      </c>
      <c r="D9" t="inlineStr"/>
      <c r="E9" t="inlineStr">
        <is>
          <t>Percentage of Children who had 2 or More Well-Child Visits with a Primary Care Practitioner during the 15th to 30th Months of Life</t>
        </is>
      </c>
      <c r="F9" t="inlineStr">
        <is>
          <t>Higher values are better</t>
        </is>
      </c>
      <c r="G9" t="inlineStr">
        <is>
          <t>Mathematica analysis of the Quality Measure Reporting (QMR) system reports for the 2023 Core Set as of May 16, 2024.</t>
        </is>
      </c>
      <c r="H9" t="inlineStr">
        <is>
          <t>State-specific comments: None</t>
        </is>
      </c>
      <c r="I9" t="inlineStr">
        <is>
          <t>Not Reported</t>
        </is>
      </c>
      <c r="J9" s="4" t="n">
        <v>0.648</v>
      </c>
      <c r="K9" s="4" t="n">
        <v>0.828</v>
      </c>
      <c r="L9" s="4" t="n">
        <v>0.238</v>
      </c>
      <c r="M9" s="4" t="n">
        <v>0.608</v>
      </c>
      <c r="N9" s="4" t="n">
        <v>0.705</v>
      </c>
    </row>
    <row r="10">
      <c r="A10" t="inlineStr">
        <is>
          <t>2+ Visits 15 to 30 months</t>
        </is>
      </c>
      <c r="B10" t="n">
        <v>2024</v>
      </c>
      <c r="C10" t="inlineStr">
        <is>
          <t>Medicaid (Title XIX), Title XXI-funded Medicaid Expansion CHIP, Separate CHIP (Title XXI)</t>
        </is>
      </c>
      <c r="D10" t="inlineStr">
        <is>
          <t>Administrative</t>
        </is>
      </c>
      <c r="E10" t="inlineStr">
        <is>
          <t>Percentage of Children who had 2 or More Well-Child Visits with a Primary Care Practitioner during the 15th to 30th Months of Life</t>
        </is>
      </c>
      <c r="F10" t="inlineStr">
        <is>
          <t>Higher values are better</t>
        </is>
      </c>
      <c r="G10" t="inlineStr">
        <is>
          <t>Mathematica analysis of the Quality Measure Reporting (QMR) system reports for the 2024 Core Set as of April 28, 2025.</t>
        </is>
      </c>
      <c r="H10" t="inlineStr">
        <is>
          <t>State-specific comments: Rate combines the Medicaid and separate CHIP data reported by the state in the QMR system. See Medicaid and separate CHIP state-specific comments for information about the data reported for each population.</t>
        </is>
      </c>
      <c r="I10" s="4" t="n">
        <v>0.702</v>
      </c>
      <c r="J10" s="4" t="n">
        <v>0.653</v>
      </c>
      <c r="K10" s="4" t="n">
        <v>0.836</v>
      </c>
      <c r="L10" s="4" t="n">
        <v>0.243</v>
      </c>
      <c r="M10" s="4" t="n">
        <v>0.602</v>
      </c>
      <c r="N10" s="4" t="n">
        <v>0.701</v>
      </c>
    </row>
    <row r="11">
      <c r="A11" t="inlineStr">
        <is>
          <t>2+ Visits 15 to 30 months</t>
        </is>
      </c>
      <c r="B11" t="n">
        <v>2024</v>
      </c>
      <c r="C11" t="inlineStr">
        <is>
          <t>Medicaid (Title XIX), Title XXI-funded Medicaid Expansion CHIP</t>
        </is>
      </c>
      <c r="D11" t="inlineStr">
        <is>
          <t>Administrative</t>
        </is>
      </c>
      <c r="E11" t="inlineStr">
        <is>
          <t>Percentage of Children who had 2 or More Well-Child Visits with a Primary Care Practitioner during the 15th to 30th Months of Life</t>
        </is>
      </c>
      <c r="F11" t="inlineStr">
        <is>
          <t>Higher values are better</t>
        </is>
      </c>
      <c r="G11" t="inlineStr">
        <is>
          <t>Mathematica analysis of the Quality Measure Reporting (QMR) system reports for the 2024 Core Set as of April 28, 2025.</t>
        </is>
      </c>
      <c r="H11"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1" s="4" t="n">
        <v>0.702</v>
      </c>
      <c r="J11" s="4" t="n">
        <v>0.653</v>
      </c>
      <c r="K11" s="4" t="n">
        <v>0.836</v>
      </c>
      <c r="L11" s="4" t="n">
        <v>0.243</v>
      </c>
      <c r="M11" s="4" t="n">
        <v>0.602</v>
      </c>
      <c r="N11" s="4" t="n">
        <v>0.701</v>
      </c>
    </row>
    <row r="12">
      <c r="A12" t="inlineStr">
        <is>
          <t>2+ Visits 15 to 30 months</t>
        </is>
      </c>
      <c r="B12" t="n">
        <v>2024</v>
      </c>
      <c r="C12" t="inlineStr">
        <is>
          <t>Separate CHIP (Title XXI)</t>
        </is>
      </c>
      <c r="D12" t="inlineStr">
        <is>
          <t>Administrative</t>
        </is>
      </c>
      <c r="E12" t="inlineStr">
        <is>
          <t>Percentage of Children who had 2 or More Well-Child Visits with a Primary Care Practitioner during the 15th to 30th Months of Life</t>
        </is>
      </c>
      <c r="F12" t="inlineStr">
        <is>
          <t>Higher values are better</t>
        </is>
      </c>
      <c r="G12" t="inlineStr">
        <is>
          <t>Mathematica analysis of the Quality Measure Reporting (QMR) system reports for the 2024 Core Set as of April 28, 2025.</t>
        </is>
      </c>
      <c r="H12"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2" t="inlineStr">
        <is>
          <t>Data suppressed</t>
        </is>
      </c>
      <c r="J12" s="4" t="n">
        <v>0.653</v>
      </c>
      <c r="K12" s="4" t="n">
        <v>0.836</v>
      </c>
      <c r="L12" s="4" t="n">
        <v>0.243</v>
      </c>
      <c r="M12" s="4" t="n">
        <v>0.602</v>
      </c>
      <c r="N12" s="4" t="n">
        <v>0.701</v>
      </c>
    </row>
    <row r="13">
      <c r="A13" t="inlineStr">
        <is>
          <t>6+ Visits First 15 months</t>
        </is>
      </c>
      <c r="B13" t="n">
        <v>2021</v>
      </c>
      <c r="C13" t="inlineStr">
        <is>
          <t>Medicaid only</t>
        </is>
      </c>
      <c r="D13" t="inlineStr">
        <is>
          <t>Administrative</t>
        </is>
      </c>
      <c r="E13" t="inlineStr">
        <is>
          <t>Percentage who had 6 or More Well-Child Visits with a Primary Care Practitioner during the First 15 Months of Life</t>
        </is>
      </c>
      <c r="F13" t="inlineStr">
        <is>
          <t>Higher values are better</t>
        </is>
      </c>
      <c r="G13" t="inlineStr">
        <is>
          <t>Mathematica analysis of the Quality Measure Reporting (QMR) system reports for the FFY 2021 reporting cycle as of June 1, 2023.</t>
        </is>
      </c>
      <c r="H13"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3" s="4" t="n">
        <v>0.5590000000000001</v>
      </c>
      <c r="J13" s="4" t="n">
        <v>0.5659999999999999</v>
      </c>
      <c r="K13" s="4" t="n">
        <v>0.789</v>
      </c>
      <c r="L13" s="4" t="n">
        <v>0.33</v>
      </c>
      <c r="M13" s="4" t="n">
        <v>0.511</v>
      </c>
      <c r="N13" s="4" t="n">
        <v>0.611</v>
      </c>
    </row>
    <row r="14">
      <c r="A14" t="inlineStr">
        <is>
          <t>6+ Visits First 15 months</t>
        </is>
      </c>
      <c r="B14" t="n">
        <v>2021</v>
      </c>
      <c r="C14" t="inlineStr">
        <is>
          <t>CHIP only</t>
        </is>
      </c>
      <c r="D14" t="inlineStr">
        <is>
          <t>Administrative</t>
        </is>
      </c>
      <c r="E14" t="inlineStr">
        <is>
          <t>Percentage who had 6 or More Well-Child Visits with a Primary Care Practitioner during the First 15 Months of Life</t>
        </is>
      </c>
      <c r="F14" t="inlineStr">
        <is>
          <t>Higher values are better</t>
        </is>
      </c>
      <c r="G14" t="inlineStr">
        <is>
          <t>Mathematica analysis of the Quality Measure Reporting (QMR) system reports for the FFY 2021 reporting cycle as of June 1, 2023.</t>
        </is>
      </c>
      <c r="H14"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4" t="inlineStr">
        <is>
          <t>Data suppressed</t>
        </is>
      </c>
      <c r="J14" s="4" t="n">
        <v>0.5659999999999999</v>
      </c>
      <c r="K14" s="4" t="n">
        <v>0.789</v>
      </c>
      <c r="L14" s="4" t="n">
        <v>0.33</v>
      </c>
      <c r="M14" s="4" t="n">
        <v>0.511</v>
      </c>
      <c r="N14" s="4" t="n">
        <v>0.611</v>
      </c>
    </row>
    <row r="15">
      <c r="A15" t="inlineStr">
        <is>
          <t>6+ Visits First 15 months</t>
        </is>
      </c>
      <c r="B15" t="n">
        <v>2022</v>
      </c>
      <c r="C15" t="inlineStr">
        <is>
          <t>Medicaid only</t>
        </is>
      </c>
      <c r="D15" t="inlineStr">
        <is>
          <t>Administrative</t>
        </is>
      </c>
      <c r="E15" t="inlineStr">
        <is>
          <t>Percentage who had 6 or More Well-Child Visits with a Primary Care Practitioner during the First 15 Months of Life</t>
        </is>
      </c>
      <c r="F15" t="inlineStr">
        <is>
          <t>Higher values are better</t>
        </is>
      </c>
      <c r="G15" t="inlineStr">
        <is>
          <t>Mathematica analysis of the Quality Measure Reporting (QMR) system reports for the FFY 2022 reporting cycle as of June 1, 2023.</t>
        </is>
      </c>
      <c r="H15"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5" s="4" t="n">
        <v>0.5679999999999999</v>
      </c>
      <c r="J15" s="4" t="n">
        <v>0.575</v>
      </c>
      <c r="K15" s="4" t="n">
        <v>0.774</v>
      </c>
      <c r="L15" s="4" t="n">
        <v>0.282</v>
      </c>
      <c r="M15" s="4" t="n">
        <v>0.513</v>
      </c>
      <c r="N15" s="4" t="n">
        <v>0.61</v>
      </c>
    </row>
    <row r="16">
      <c r="A16" t="inlineStr">
        <is>
          <t>6+ Visits First 15 months</t>
        </is>
      </c>
      <c r="B16" t="n">
        <v>2022</v>
      </c>
      <c r="C16" t="inlineStr">
        <is>
          <t>CHIP only</t>
        </is>
      </c>
      <c r="D16" t="inlineStr">
        <is>
          <t>Administrative</t>
        </is>
      </c>
      <c r="E16" t="inlineStr">
        <is>
          <t>Percentage who had 6 or More Well-Child Visits with a Primary Care Practitioner during the First 15 Months of Life</t>
        </is>
      </c>
      <c r="F16" t="inlineStr">
        <is>
          <t>Higher values are better</t>
        </is>
      </c>
      <c r="G16" t="inlineStr">
        <is>
          <t>Mathematica analysis of the Quality Measure Reporting (QMR) system reports for the FFY 2022 reporting cycle as of June 1, 2023.</t>
        </is>
      </c>
      <c r="H16" t="inlineStr">
        <is>
          <t>State-specific comments: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6" t="inlineStr">
        <is>
          <t>Not reported</t>
        </is>
      </c>
      <c r="J16" s="4" t="n">
        <v>0.575</v>
      </c>
      <c r="K16" s="4" t="n">
        <v>0.774</v>
      </c>
      <c r="L16" s="4" t="n">
        <v>0.282</v>
      </c>
      <c r="M16" s="4" t="n">
        <v>0.513</v>
      </c>
      <c r="N16" s="4" t="n">
        <v>0.61</v>
      </c>
    </row>
    <row r="17">
      <c r="A17" t="inlineStr">
        <is>
          <t>6+ Visits First 15 months</t>
        </is>
      </c>
      <c r="B17" t="n">
        <v>2023</v>
      </c>
      <c r="C17" t="inlineStr">
        <is>
          <t>Medicaid only</t>
        </is>
      </c>
      <c r="D17" t="inlineStr">
        <is>
          <t>Administrative</t>
        </is>
      </c>
      <c r="E17" t="inlineStr">
        <is>
          <t>Percentage of Children who had 6 or More Well-Child Visits with a Primary Care Practitioner during the First 15 Months of Life</t>
        </is>
      </c>
      <c r="F17" t="inlineStr">
        <is>
          <t>Higher values are better</t>
        </is>
      </c>
      <c r="G17" t="inlineStr">
        <is>
          <t>Mathematica analysis of the Quality Measure Reporting (QMR) system reports for the 2023 Core Set as of May 16, 2024.</t>
        </is>
      </c>
      <c r="H17"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17" s="4" t="n">
        <v>0.592</v>
      </c>
      <c r="J17" s="4" t="n">
        <v>0.592</v>
      </c>
      <c r="K17" s="4" t="n">
        <v>0.791</v>
      </c>
      <c r="L17" s="4" t="n">
        <v>0.07199999999999999</v>
      </c>
      <c r="M17" s="4" t="n">
        <v>0.542</v>
      </c>
      <c r="N17" s="4" t="n">
        <v>0.627</v>
      </c>
    </row>
    <row r="18">
      <c r="A18" t="inlineStr">
        <is>
          <t>6+ Visits First 15 months</t>
        </is>
      </c>
      <c r="B18" t="n">
        <v>2023</v>
      </c>
      <c r="C18" t="inlineStr">
        <is>
          <t>CHIP only</t>
        </is>
      </c>
      <c r="D18" t="inlineStr"/>
      <c r="E18" t="inlineStr">
        <is>
          <t>Percentage of Children who had 6 or More Well-Child Visits with a Primary Care Practitioner during the First 15 Months of Life</t>
        </is>
      </c>
      <c r="F18" t="inlineStr">
        <is>
          <t>Higher values are better</t>
        </is>
      </c>
      <c r="G18" t="inlineStr">
        <is>
          <t>Mathematica analysis of the Quality Measure Reporting (QMR) system reports for the 2023 Core Set as of May 16, 2024.</t>
        </is>
      </c>
      <c r="H18" t="inlineStr">
        <is>
          <t>State-specific comments: None</t>
        </is>
      </c>
      <c r="I18" t="inlineStr">
        <is>
          <t>Not Reported</t>
        </is>
      </c>
      <c r="J18" s="4" t="n">
        <v>0.592</v>
      </c>
      <c r="K18" s="4" t="n">
        <v>0.791</v>
      </c>
      <c r="L18" s="4" t="n">
        <v>0.07199999999999999</v>
      </c>
      <c r="M18" s="4" t="n">
        <v>0.542</v>
      </c>
      <c r="N18" s="4" t="n">
        <v>0.627</v>
      </c>
    </row>
    <row r="19">
      <c r="A19" t="inlineStr">
        <is>
          <t>6+ Visits First 15 months</t>
        </is>
      </c>
      <c r="B19" t="n">
        <v>2024</v>
      </c>
      <c r="C19" t="inlineStr">
        <is>
          <t>Medicaid (Title XIX), Title XXI-funded Medicaid Expansion CHIP, Separate CHIP (Title XXI)</t>
        </is>
      </c>
      <c r="D19" t="inlineStr">
        <is>
          <t>Administrative</t>
        </is>
      </c>
      <c r="E19" t="inlineStr">
        <is>
          <t>Percentage of Children who had 6 or More Well-Child Visits with a Primary Care Practitioner during the First 15 Months of Life</t>
        </is>
      </c>
      <c r="F19" t="inlineStr">
        <is>
          <t>Higher values are better</t>
        </is>
      </c>
      <c r="G19" t="inlineStr">
        <is>
          <t>Mathematica analysis of the Quality Measure Reporting (QMR) system reports for the 2024 Core Set as of April 28, 2025.</t>
        </is>
      </c>
      <c r="H19" t="inlineStr">
        <is>
          <t>State-specific comments: Rate combines the Medicaid and separate CHIP data reported by the state in the QMR system. See Medicaid and separate CHIP state-specific comments for information about the data reported for each population.</t>
        </is>
      </c>
      <c r="I19" s="4" t="n">
        <v>0.597</v>
      </c>
      <c r="J19" s="4" t="n">
        <v>0.59</v>
      </c>
      <c r="K19" s="4" t="n">
        <v>0.791</v>
      </c>
      <c r="L19" s="4" t="n">
        <v>0.1</v>
      </c>
      <c r="M19" s="4" t="n">
        <v>0.507</v>
      </c>
      <c r="N19" s="4" t="n">
        <v>0.625</v>
      </c>
    </row>
    <row r="20">
      <c r="A20" t="inlineStr">
        <is>
          <t>6+ Visits First 15 months</t>
        </is>
      </c>
      <c r="B20" t="n">
        <v>2024</v>
      </c>
      <c r="C20" t="inlineStr">
        <is>
          <t>Medicaid (Title XIX), Title XXI-funded Medicaid Expansion CHIP</t>
        </is>
      </c>
      <c r="D20" t="inlineStr">
        <is>
          <t>Administrative</t>
        </is>
      </c>
      <c r="E20" t="inlineStr">
        <is>
          <t>Percentage of Children who had 6 or More Well-Child Visits with a Primary Care Practitioner during the First 15 Months of Life</t>
        </is>
      </c>
      <c r="F20" t="inlineStr">
        <is>
          <t>Higher values are better</t>
        </is>
      </c>
      <c r="G20" t="inlineStr">
        <is>
          <t>Mathematica analysis of the Quality Measure Reporting (QMR) system reports for the 2024 Core Set as of April 28, 2025.</t>
        </is>
      </c>
      <c r="H20" t="inlineStr">
        <is>
          <t>State-specific comments: Medicaid 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0" s="4" t="n">
        <v>0.597</v>
      </c>
      <c r="J20" s="4" t="n">
        <v>0.59</v>
      </c>
      <c r="K20" s="4" t="n">
        <v>0.791</v>
      </c>
      <c r="L20" s="4" t="n">
        <v>0.1</v>
      </c>
      <c r="M20" s="4" t="n">
        <v>0.507</v>
      </c>
      <c r="N20" s="4" t="n">
        <v>0.625</v>
      </c>
    </row>
    <row r="21">
      <c r="A21" t="inlineStr">
        <is>
          <t>6+ Visits First 15 months</t>
        </is>
      </c>
      <c r="B21" t="n">
        <v>2024</v>
      </c>
      <c r="C21" t="inlineStr">
        <is>
          <t>Separate CHIP (Title XXI)</t>
        </is>
      </c>
      <c r="D21" t="inlineStr">
        <is>
          <t>Administrative</t>
        </is>
      </c>
      <c r="E21" t="inlineStr">
        <is>
          <t>Percentage of Children who had 6 or More Well-Child Visits with a Primary Care Practitioner during the First 15 Months of Life</t>
        </is>
      </c>
      <c r="F21" t="inlineStr">
        <is>
          <t>Higher values are better</t>
        </is>
      </c>
      <c r="G21" t="inlineStr">
        <is>
          <t>Mathematica analysis of the Quality Measure Reporting (QMR) system reports for the 2024 Core Set as of April 28, 2025.</t>
        </is>
      </c>
      <c r="H21" t="inlineStr">
        <is>
          <t>State-specific comments: Separate CHIP rates include managed care population (15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t>
        </is>
      </c>
      <c r="I21" t="inlineStr">
        <is>
          <t>Data suppressed</t>
        </is>
      </c>
      <c r="J21" s="4" t="n">
        <v>0.59</v>
      </c>
      <c r="K21" s="4" t="n">
        <v>0.791</v>
      </c>
      <c r="L21" s="4" t="n">
        <v>0.1</v>
      </c>
      <c r="M21" s="4" t="n">
        <v>0.507</v>
      </c>
      <c r="N21" s="4" t="n">
        <v>0.625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2026-02-17T14:51:21Z</dcterms:created>
  <dcterms:modified xsi:type="dcterms:W3CDTF">2026-02-17T14:51:27Z</dcterms:modified>
</cp:coreProperties>
</file>